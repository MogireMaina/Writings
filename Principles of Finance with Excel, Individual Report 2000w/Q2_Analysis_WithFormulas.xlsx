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&amp; Returns" sheetId="1" state="visible" r:id="rId1"/>
    <sheet name="Calculations" sheetId="2" state="visible" r:id="rId2"/>
    <sheet name="Histograms" sheetId="3" state="visible" r:id="rId3"/>
    <sheet name="Summary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00000"/>
    <numFmt numFmtId="166" formatCode="0.0000"/>
  </numFmts>
  <fonts count="7">
    <font>
      <name val="Calibri"/>
      <family val="2"/>
      <color theme="1"/>
      <sz val="11"/>
      <scheme val="minor"/>
    </font>
    <font>
      <b val="1"/>
      <sz val="11"/>
    </font>
    <font>
      <b val="1"/>
      <color rgb="00FFFFFF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165" fontId="0" fillId="4" borderId="0" pivotButton="0" quotePrefix="0" xfId="0"/>
    <xf numFmtId="0" fontId="5" fillId="0" borderId="0" pivotButton="0" quotePrefix="0" xfId="0"/>
    <xf numFmtId="166" fontId="0" fillId="0" borderId="0" pivotButton="0" quotePrefix="0" xfId="0"/>
    <xf numFmtId="0" fontId="6" fillId="2" borderId="0" applyAlignment="1" pivotButton="0" quotePrefix="0" xfId="0">
      <alignment horizontal="center"/>
    </xf>
    <xf numFmtId="0" fontId="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5" customWidth="1" min="4" max="4"/>
    <col width="18" customWidth="1" min="5" max="5"/>
    <col width="18" customWidth="1" min="6" max="6"/>
  </cols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S&amp;P 500 Price</t>
        </is>
      </c>
      <c r="D1" s="1" t="inlineStr">
        <is>
          <t>AAPL Price</t>
        </is>
      </c>
      <c r="E1" s="1" t="inlineStr">
        <is>
          <t>S&amp;P 500 Log Return</t>
        </is>
      </c>
      <c r="F1" s="1" t="inlineStr">
        <is>
          <t>AAPL Log Return</t>
        </is>
      </c>
    </row>
    <row r="2">
      <c r="A2" t="n">
        <v>1</v>
      </c>
      <c r="B2" s="2" t="n">
        <v>45963</v>
      </c>
      <c r="C2" s="3" t="n">
        <v>6771.74</v>
      </c>
      <c r="D2" s="3" t="n">
        <v>270.04</v>
      </c>
    </row>
    <row r="3">
      <c r="A3" t="n">
        <v>2</v>
      </c>
      <c r="B3" s="2" t="n">
        <v>45956</v>
      </c>
      <c r="C3" s="3" t="n">
        <v>6840.2</v>
      </c>
      <c r="D3" s="3" t="n">
        <v>270.37</v>
      </c>
      <c r="E3" s="4">
        <f>LN(C3/C2)</f>
        <v/>
      </c>
      <c r="F3" s="4">
        <f>LN(D3/D2)</f>
        <v/>
      </c>
    </row>
    <row r="4">
      <c r="A4" t="n">
        <v>3</v>
      </c>
      <c r="B4" s="2" t="n">
        <v>45949</v>
      </c>
      <c r="C4" s="3" t="n">
        <v>6791.69</v>
      </c>
      <c r="D4" s="3" t="n">
        <v>262.82</v>
      </c>
      <c r="E4" s="4">
        <f>LN(C4/C3)</f>
        <v/>
      </c>
      <c r="F4" s="4">
        <f>LN(D4/D3)</f>
        <v/>
      </c>
    </row>
    <row r="5">
      <c r="A5" t="n">
        <v>4</v>
      </c>
      <c r="B5" s="2" t="n">
        <v>45942</v>
      </c>
      <c r="C5" s="3" t="n">
        <v>6664.01</v>
      </c>
      <c r="D5" s="3" t="n">
        <v>252.29</v>
      </c>
      <c r="E5" s="4">
        <f>LN(C5/C4)</f>
        <v/>
      </c>
      <c r="F5" s="4">
        <f>LN(D5/D4)</f>
        <v/>
      </c>
    </row>
    <row r="6">
      <c r="A6" t="n">
        <v>5</v>
      </c>
      <c r="B6" s="2" t="n">
        <v>45935</v>
      </c>
      <c r="C6" s="3" t="n">
        <v>6552.51</v>
      </c>
      <c r="D6" s="3" t="n">
        <v>245.27</v>
      </c>
      <c r="E6" s="4">
        <f>LN(C6/C5)</f>
        <v/>
      </c>
      <c r="F6" s="4">
        <f>LN(D6/D5)</f>
        <v/>
      </c>
    </row>
    <row r="7">
      <c r="A7" t="n">
        <v>6</v>
      </c>
      <c r="B7" s="2" t="n">
        <v>45928</v>
      </c>
      <c r="C7" s="3" t="n">
        <v>6715.79</v>
      </c>
      <c r="D7" s="3" t="n">
        <v>258.02</v>
      </c>
      <c r="E7" s="4">
        <f>LN(C7/C6)</f>
        <v/>
      </c>
      <c r="F7" s="4">
        <f>LN(D7/D6)</f>
        <v/>
      </c>
    </row>
    <row r="8">
      <c r="A8" t="n">
        <v>7</v>
      </c>
      <c r="B8" s="2" t="n">
        <v>45921</v>
      </c>
      <c r="C8" s="3" t="n">
        <v>6643.7</v>
      </c>
      <c r="D8" s="3" t="n">
        <v>255.46</v>
      </c>
      <c r="E8" s="4">
        <f>LN(C8/C7)</f>
        <v/>
      </c>
      <c r="F8" s="4">
        <f>LN(D8/D7)</f>
        <v/>
      </c>
    </row>
    <row r="9">
      <c r="A9" t="n">
        <v>8</v>
      </c>
      <c r="B9" s="2" t="n">
        <v>45914</v>
      </c>
      <c r="C9" s="3" t="n">
        <v>6664.36</v>
      </c>
      <c r="D9" s="3" t="n">
        <v>245.5</v>
      </c>
      <c r="E9" s="4">
        <f>LN(C9/C8)</f>
        <v/>
      </c>
      <c r="F9" s="4">
        <f>LN(D9/D8)</f>
        <v/>
      </c>
    </row>
    <row r="10">
      <c r="A10" t="n">
        <v>9</v>
      </c>
      <c r="B10" s="2" t="n">
        <v>45907</v>
      </c>
      <c r="C10" s="3" t="n">
        <v>6584.29</v>
      </c>
      <c r="D10" s="3" t="n">
        <v>234.07</v>
      </c>
      <c r="E10" s="4">
        <f>LN(C10/C9)</f>
        <v/>
      </c>
      <c r="F10" s="4">
        <f>LN(D10/D9)</f>
        <v/>
      </c>
    </row>
    <row r="11">
      <c r="A11" t="n">
        <v>10</v>
      </c>
      <c r="B11" s="2" t="n">
        <v>45900</v>
      </c>
      <c r="C11" s="3" t="n">
        <v>6481.5</v>
      </c>
      <c r="D11" s="3" t="n">
        <v>239.69</v>
      </c>
      <c r="E11" s="4">
        <f>LN(C11/C10)</f>
        <v/>
      </c>
      <c r="F11" s="4">
        <f>LN(D11/D10)</f>
        <v/>
      </c>
    </row>
    <row r="12">
      <c r="A12" t="n">
        <v>11</v>
      </c>
      <c r="B12" s="2" t="n">
        <v>45893</v>
      </c>
      <c r="C12" s="3" t="n">
        <v>6460.26</v>
      </c>
      <c r="D12" s="3" t="n">
        <v>232.14</v>
      </c>
      <c r="E12" s="4">
        <f>LN(C12/C11)</f>
        <v/>
      </c>
      <c r="F12" s="4">
        <f>LN(D12/D11)</f>
        <v/>
      </c>
    </row>
    <row r="13">
      <c r="A13" t="n">
        <v>12</v>
      </c>
      <c r="B13" s="2" t="n">
        <v>45886</v>
      </c>
      <c r="C13" s="3" t="n">
        <v>6466.91</v>
      </c>
      <c r="D13" s="3" t="n">
        <v>227.76</v>
      </c>
      <c r="E13" s="4">
        <f>LN(C13/C12)</f>
        <v/>
      </c>
      <c r="F13" s="4">
        <f>LN(D13/D12)</f>
        <v/>
      </c>
    </row>
    <row r="14">
      <c r="A14" t="n">
        <v>13</v>
      </c>
      <c r="B14" s="2" t="n">
        <v>45879</v>
      </c>
      <c r="C14" s="3" t="n">
        <v>6449.8</v>
      </c>
      <c r="D14" s="3" t="n">
        <v>231.59</v>
      </c>
      <c r="E14" s="4">
        <f>LN(C14/C13)</f>
        <v/>
      </c>
      <c r="F14" s="4">
        <f>LN(D14/D13)</f>
        <v/>
      </c>
    </row>
    <row r="15">
      <c r="A15" t="n">
        <v>14</v>
      </c>
      <c r="B15" s="2" t="n">
        <v>45872</v>
      </c>
      <c r="C15" s="3" t="n">
        <v>6389.45</v>
      </c>
      <c r="D15" s="3" t="n">
        <v>229.35</v>
      </c>
      <c r="E15" s="4">
        <f>LN(C15/C14)</f>
        <v/>
      </c>
      <c r="F15" s="4">
        <f>LN(D15/D14)</f>
        <v/>
      </c>
    </row>
    <row r="16">
      <c r="A16" t="n">
        <v>15</v>
      </c>
      <c r="B16" s="2" t="n">
        <v>45865</v>
      </c>
      <c r="C16" s="3" t="n">
        <v>6238.01</v>
      </c>
      <c r="D16" s="3" t="n">
        <v>202.38</v>
      </c>
      <c r="E16" s="4">
        <f>LN(C16/C15)</f>
        <v/>
      </c>
      <c r="F16" s="4">
        <f>LN(D16/D15)</f>
        <v/>
      </c>
    </row>
    <row r="17">
      <c r="A17" t="n">
        <v>16</v>
      </c>
      <c r="B17" s="2" t="n">
        <v>45858</v>
      </c>
      <c r="C17" s="3" t="n">
        <v>6388.64</v>
      </c>
      <c r="D17" s="3" t="n">
        <v>213.88</v>
      </c>
      <c r="E17" s="4">
        <f>LN(C17/C16)</f>
        <v/>
      </c>
      <c r="F17" s="4">
        <f>LN(D17/D16)</f>
        <v/>
      </c>
    </row>
    <row r="18">
      <c r="A18" t="n">
        <v>17</v>
      </c>
      <c r="B18" s="2" t="n">
        <v>45851</v>
      </c>
      <c r="C18" s="3" t="n">
        <v>6296.79</v>
      </c>
      <c r="D18" s="3" t="n">
        <v>211.18</v>
      </c>
      <c r="E18" s="4">
        <f>LN(C18/C17)</f>
        <v/>
      </c>
      <c r="F18" s="4">
        <f>LN(D18/D17)</f>
        <v/>
      </c>
    </row>
    <row r="19">
      <c r="A19" t="n">
        <v>18</v>
      </c>
      <c r="B19" s="2" t="n">
        <v>45844</v>
      </c>
      <c r="C19" s="3" t="n">
        <v>6259.75</v>
      </c>
      <c r="D19" s="3" t="n">
        <v>211.16</v>
      </c>
      <c r="E19" s="4">
        <f>LN(C19/C18)</f>
        <v/>
      </c>
      <c r="F19" s="4">
        <f>LN(D19/D18)</f>
        <v/>
      </c>
    </row>
    <row r="20">
      <c r="A20" t="n">
        <v>19</v>
      </c>
      <c r="B20" s="2" t="n">
        <v>45837</v>
      </c>
      <c r="C20" s="3" t="n">
        <v>6279.35</v>
      </c>
      <c r="D20" s="3" t="n">
        <v>213.55</v>
      </c>
      <c r="E20" s="4">
        <f>LN(C20/C19)</f>
        <v/>
      </c>
      <c r="F20" s="4">
        <f>LN(D20/D19)</f>
        <v/>
      </c>
    </row>
    <row r="21">
      <c r="A21" t="n">
        <v>20</v>
      </c>
      <c r="B21" s="2" t="n">
        <v>45830</v>
      </c>
      <c r="C21" s="3" t="n">
        <v>6173.07</v>
      </c>
      <c r="D21" s="3" t="n">
        <v>201.08</v>
      </c>
      <c r="E21" s="4">
        <f>LN(C21/C20)</f>
        <v/>
      </c>
      <c r="F21" s="4">
        <f>LN(D21/D20)</f>
        <v/>
      </c>
    </row>
    <row r="22">
      <c r="A22" t="n">
        <v>21</v>
      </c>
      <c r="B22" s="2" t="n">
        <v>45823</v>
      </c>
      <c r="C22" s="3" t="n">
        <v>5967.84</v>
      </c>
      <c r="D22" s="3" t="n">
        <v>201</v>
      </c>
      <c r="E22" s="4">
        <f>LN(C22/C21)</f>
        <v/>
      </c>
      <c r="F22" s="4">
        <f>LN(D22/D21)</f>
        <v/>
      </c>
    </row>
    <row r="23">
      <c r="A23" t="n">
        <v>22</v>
      </c>
      <c r="B23" s="2" t="n">
        <v>45816</v>
      </c>
      <c r="C23" s="3" t="n">
        <v>5976.97</v>
      </c>
      <c r="D23" s="3" t="n">
        <v>196.45</v>
      </c>
      <c r="E23" s="4">
        <f>LN(C23/C22)</f>
        <v/>
      </c>
      <c r="F23" s="4">
        <f>LN(D23/D22)</f>
        <v/>
      </c>
    </row>
    <row r="24">
      <c r="A24" t="n">
        <v>23</v>
      </c>
      <c r="B24" s="2" t="n">
        <v>45809</v>
      </c>
      <c r="C24" s="3" t="n">
        <v>6000.36</v>
      </c>
      <c r="D24" s="3" t="n">
        <v>203.92</v>
      </c>
      <c r="E24" s="4">
        <f>LN(C24/C23)</f>
        <v/>
      </c>
      <c r="F24" s="4">
        <f>LN(D24/D23)</f>
        <v/>
      </c>
    </row>
    <row r="25">
      <c r="A25" t="n">
        <v>24</v>
      </c>
      <c r="B25" s="2" t="n">
        <v>45802</v>
      </c>
      <c r="C25" s="3" t="n">
        <v>5911.69</v>
      </c>
      <c r="D25" s="3" t="n">
        <v>200.85</v>
      </c>
      <c r="E25" s="4">
        <f>LN(C25/C24)</f>
        <v/>
      </c>
      <c r="F25" s="4">
        <f>LN(D25/D24)</f>
        <v/>
      </c>
    </row>
    <row r="26">
      <c r="A26" t="n">
        <v>25</v>
      </c>
      <c r="B26" s="2" t="n">
        <v>45795</v>
      </c>
      <c r="C26" s="3" t="n">
        <v>5802.82</v>
      </c>
      <c r="D26" s="3" t="n">
        <v>195.27</v>
      </c>
      <c r="E26" s="4">
        <f>LN(C26/C25)</f>
        <v/>
      </c>
      <c r="F26" s="4">
        <f>LN(D26/D25)</f>
        <v/>
      </c>
    </row>
    <row r="27">
      <c r="A27" t="n">
        <v>26</v>
      </c>
      <c r="B27" s="2" t="n">
        <v>45788</v>
      </c>
      <c r="C27" s="3" t="n">
        <v>5958.38</v>
      </c>
      <c r="D27" s="3" t="n">
        <v>211.26</v>
      </c>
      <c r="E27" s="4">
        <f>LN(C27/C26)</f>
        <v/>
      </c>
      <c r="F27" s="4">
        <f>LN(D27/D26)</f>
        <v/>
      </c>
    </row>
    <row r="28">
      <c r="A28" t="n">
        <v>27</v>
      </c>
      <c r="B28" s="2" t="n">
        <v>45781</v>
      </c>
      <c r="C28" s="3" t="n">
        <v>5659.91</v>
      </c>
      <c r="D28" s="3" t="n">
        <v>198.53</v>
      </c>
      <c r="E28" s="4">
        <f>LN(C28/C27)</f>
        <v/>
      </c>
      <c r="F28" s="4">
        <f>LN(D28/D27)</f>
        <v/>
      </c>
    </row>
    <row r="29">
      <c r="A29" t="n">
        <v>28</v>
      </c>
      <c r="B29" s="2" t="n">
        <v>45774</v>
      </c>
      <c r="C29" s="3" t="n">
        <v>5686.67</v>
      </c>
      <c r="D29" s="3" t="n">
        <v>205.35</v>
      </c>
      <c r="E29" s="4">
        <f>LN(C29/C28)</f>
        <v/>
      </c>
      <c r="F29" s="4">
        <f>LN(D29/D28)</f>
        <v/>
      </c>
    </row>
    <row r="30">
      <c r="A30" t="n">
        <v>29</v>
      </c>
      <c r="B30" s="2" t="n">
        <v>45767</v>
      </c>
      <c r="C30" s="3" t="n">
        <v>5525.21</v>
      </c>
      <c r="D30" s="3" t="n">
        <v>209.28</v>
      </c>
      <c r="E30" s="4">
        <f>LN(C30/C29)</f>
        <v/>
      </c>
      <c r="F30" s="4">
        <f>LN(D30/D29)</f>
        <v/>
      </c>
    </row>
    <row r="31">
      <c r="A31" t="n">
        <v>30</v>
      </c>
      <c r="B31" s="2" t="n">
        <v>45760</v>
      </c>
      <c r="C31" s="3" t="n">
        <v>5282.7</v>
      </c>
      <c r="D31" s="3" t="n">
        <v>196.98</v>
      </c>
      <c r="E31" s="4">
        <f>LN(C31/C30)</f>
        <v/>
      </c>
      <c r="F31" s="4">
        <f>LN(D31/D30)</f>
        <v/>
      </c>
    </row>
    <row r="32">
      <c r="A32" t="n">
        <v>31</v>
      </c>
      <c r="B32" s="2" t="n">
        <v>45753</v>
      </c>
      <c r="C32" s="3" t="n">
        <v>5363.36</v>
      </c>
      <c r="D32" s="3" t="n">
        <v>198.15</v>
      </c>
      <c r="E32" s="4">
        <f>LN(C32/C31)</f>
        <v/>
      </c>
      <c r="F32" s="4">
        <f>LN(D32/D31)</f>
        <v/>
      </c>
    </row>
    <row r="33">
      <c r="A33" t="n">
        <v>32</v>
      </c>
      <c r="B33" s="2" t="n">
        <v>45746</v>
      </c>
      <c r="C33" s="3" t="n">
        <v>5074.08</v>
      </c>
      <c r="D33" s="3" t="n">
        <v>188.38</v>
      </c>
      <c r="E33" s="4">
        <f>LN(C33/C32)</f>
        <v/>
      </c>
      <c r="F33" s="4">
        <f>LN(D33/D32)</f>
        <v/>
      </c>
    </row>
    <row r="34">
      <c r="A34" t="n">
        <v>33</v>
      </c>
      <c r="B34" s="2" t="n">
        <v>45739</v>
      </c>
      <c r="C34" s="3" t="n">
        <v>5580.94</v>
      </c>
      <c r="D34" s="3" t="n">
        <v>217.9</v>
      </c>
      <c r="E34" s="4">
        <f>LN(C34/C33)</f>
        <v/>
      </c>
      <c r="F34" s="4">
        <f>LN(D34/D33)</f>
        <v/>
      </c>
    </row>
    <row r="35">
      <c r="A35" t="n">
        <v>34</v>
      </c>
      <c r="B35" s="2" t="n">
        <v>45732</v>
      </c>
      <c r="C35" s="3" t="n">
        <v>5667.56</v>
      </c>
      <c r="D35" s="3" t="n">
        <v>218.27</v>
      </c>
      <c r="E35" s="4">
        <f>LN(C35/C34)</f>
        <v/>
      </c>
      <c r="F35" s="4">
        <f>LN(D35/D34)</f>
        <v/>
      </c>
    </row>
    <row r="36">
      <c r="A36" t="n">
        <v>35</v>
      </c>
      <c r="B36" s="2" t="n">
        <v>45725</v>
      </c>
      <c r="C36" s="3" t="n">
        <v>5638.94</v>
      </c>
      <c r="D36" s="3" t="n">
        <v>213.49</v>
      </c>
      <c r="E36" s="4">
        <f>LN(C36/C35)</f>
        <v/>
      </c>
      <c r="F36" s="4">
        <f>LN(D36/D35)</f>
        <v/>
      </c>
    </row>
    <row r="37">
      <c r="A37" t="n">
        <v>36</v>
      </c>
      <c r="B37" s="2" t="n">
        <v>45718</v>
      </c>
      <c r="C37" s="3" t="n">
        <v>5770.2</v>
      </c>
      <c r="D37" s="3" t="n">
        <v>239.07</v>
      </c>
      <c r="E37" s="4">
        <f>LN(C37/C36)</f>
        <v/>
      </c>
      <c r="F37" s="4">
        <f>LN(D37/D36)</f>
        <v/>
      </c>
    </row>
    <row r="38">
      <c r="A38" t="n">
        <v>37</v>
      </c>
      <c r="B38" s="2" t="n">
        <v>45711</v>
      </c>
      <c r="C38" s="3" t="n">
        <v>5954.5</v>
      </c>
      <c r="D38" s="3" t="n">
        <v>241.84</v>
      </c>
      <c r="E38" s="4">
        <f>LN(C38/C37)</f>
        <v/>
      </c>
      <c r="F38" s="4">
        <f>LN(D38/D37)</f>
        <v/>
      </c>
    </row>
    <row r="39">
      <c r="A39" t="n">
        <v>38</v>
      </c>
      <c r="B39" s="2" t="n">
        <v>45704</v>
      </c>
      <c r="C39" s="3" t="n">
        <v>6013.13</v>
      </c>
      <c r="D39" s="3" t="n">
        <v>245.55</v>
      </c>
      <c r="E39" s="4">
        <f>LN(C39/C38)</f>
        <v/>
      </c>
      <c r="F39" s="4">
        <f>LN(D39/D38)</f>
        <v/>
      </c>
    </row>
    <row r="40">
      <c r="A40" t="n">
        <v>39</v>
      </c>
      <c r="B40" s="2" t="n">
        <v>45697</v>
      </c>
      <c r="C40" s="3" t="n">
        <v>6114.63</v>
      </c>
      <c r="D40" s="3" t="n">
        <v>244.6</v>
      </c>
      <c r="E40" s="4">
        <f>LN(C40/C39)</f>
        <v/>
      </c>
      <c r="F40" s="4">
        <f>LN(D40/D39)</f>
        <v/>
      </c>
    </row>
    <row r="41">
      <c r="A41" t="n">
        <v>40</v>
      </c>
      <c r="B41" s="2" t="n">
        <v>45690</v>
      </c>
      <c r="C41" s="3" t="n">
        <v>6025.99</v>
      </c>
      <c r="D41" s="3" t="n">
        <v>227.63</v>
      </c>
      <c r="E41" s="4">
        <f>LN(C41/C40)</f>
        <v/>
      </c>
      <c r="F41" s="4">
        <f>LN(D41/D40)</f>
        <v/>
      </c>
    </row>
    <row r="42">
      <c r="A42" t="n">
        <v>41</v>
      </c>
      <c r="B42" s="2" t="n">
        <v>45683</v>
      </c>
      <c r="C42" s="3" t="n">
        <v>6040.53</v>
      </c>
      <c r="D42" s="3" t="n">
        <v>236</v>
      </c>
      <c r="E42" s="4">
        <f>LN(C42/C41)</f>
        <v/>
      </c>
      <c r="F42" s="4">
        <f>LN(D42/D41)</f>
        <v/>
      </c>
    </row>
    <row r="43">
      <c r="A43" t="n">
        <v>42</v>
      </c>
      <c r="B43" s="2" t="n">
        <v>45676</v>
      </c>
      <c r="C43" s="3" t="n">
        <v>6101.24</v>
      </c>
      <c r="D43" s="3" t="n">
        <v>222.78</v>
      </c>
      <c r="E43" s="4">
        <f>LN(C43/C42)</f>
        <v/>
      </c>
      <c r="F43" s="4">
        <f>LN(D43/D42)</f>
        <v/>
      </c>
    </row>
    <row r="44">
      <c r="A44" t="n">
        <v>43</v>
      </c>
      <c r="B44" s="2" t="n">
        <v>45669</v>
      </c>
      <c r="C44" s="3" t="n">
        <v>5996.66</v>
      </c>
      <c r="D44" s="3" t="n">
        <v>229.98</v>
      </c>
      <c r="E44" s="4">
        <f>LN(C44/C43)</f>
        <v/>
      </c>
      <c r="F44" s="4">
        <f>LN(D44/D43)</f>
        <v/>
      </c>
    </row>
    <row r="45">
      <c r="A45" t="n">
        <v>44</v>
      </c>
      <c r="B45" s="2" t="n">
        <v>45662</v>
      </c>
      <c r="C45" s="3" t="n">
        <v>5827.04</v>
      </c>
      <c r="D45" s="3" t="n">
        <v>236.85</v>
      </c>
      <c r="E45" s="4">
        <f>LN(C45/C44)</f>
        <v/>
      </c>
      <c r="F45" s="4">
        <f>LN(D45/D44)</f>
        <v/>
      </c>
    </row>
    <row r="46">
      <c r="A46" t="n">
        <v>45</v>
      </c>
      <c r="B46" s="2" t="n">
        <v>45655</v>
      </c>
      <c r="C46" s="3" t="n">
        <v>5942.47</v>
      </c>
      <c r="D46" s="3" t="n">
        <v>243.36</v>
      </c>
      <c r="E46" s="4">
        <f>LN(C46/C45)</f>
        <v/>
      </c>
      <c r="F46" s="4">
        <f>LN(D46/D45)</f>
        <v/>
      </c>
    </row>
    <row r="47">
      <c r="A47" t="n">
        <v>46</v>
      </c>
      <c r="B47" s="2" t="n">
        <v>45648</v>
      </c>
      <c r="C47" s="3" t="n">
        <v>5970.84</v>
      </c>
      <c r="D47" s="3" t="n">
        <v>255.59</v>
      </c>
      <c r="E47" s="4">
        <f>LN(C47/C46)</f>
        <v/>
      </c>
      <c r="F47" s="4">
        <f>LN(D47/D46)</f>
        <v/>
      </c>
    </row>
    <row r="48">
      <c r="A48" t="n">
        <v>47</v>
      </c>
      <c r="B48" s="2" t="n">
        <v>45641</v>
      </c>
      <c r="C48" s="3" t="n">
        <v>5930.85</v>
      </c>
      <c r="D48" s="3" t="n">
        <v>254.49</v>
      </c>
      <c r="E48" s="4">
        <f>LN(C48/C47)</f>
        <v/>
      </c>
      <c r="F48" s="4">
        <f>LN(D48/D47)</f>
        <v/>
      </c>
    </row>
    <row r="49">
      <c r="A49" t="n">
        <v>48</v>
      </c>
      <c r="B49" s="2" t="n">
        <v>45634</v>
      </c>
      <c r="C49" s="3" t="n">
        <v>6051.09</v>
      </c>
      <c r="D49" s="3" t="n">
        <v>248.13</v>
      </c>
      <c r="E49" s="4">
        <f>LN(C49/C48)</f>
        <v/>
      </c>
      <c r="F49" s="4">
        <f>LN(D49/D48)</f>
        <v/>
      </c>
    </row>
    <row r="50">
      <c r="A50" t="n">
        <v>49</v>
      </c>
      <c r="B50" s="2" t="n">
        <v>45627</v>
      </c>
      <c r="C50" s="3" t="n">
        <v>6090.27</v>
      </c>
      <c r="D50" s="3" t="n">
        <v>242.84</v>
      </c>
      <c r="E50" s="4">
        <f>LN(C50/C49)</f>
        <v/>
      </c>
      <c r="F50" s="4">
        <f>LN(D50/D49)</f>
        <v/>
      </c>
    </row>
    <row r="51">
      <c r="A51" t="n">
        <v>50</v>
      </c>
      <c r="B51" s="2" t="n">
        <v>45620</v>
      </c>
      <c r="C51" s="3" t="n">
        <v>6032.38</v>
      </c>
      <c r="D51" s="3" t="n">
        <v>237.33</v>
      </c>
      <c r="E51" s="4">
        <f>LN(C51/C50)</f>
        <v/>
      </c>
      <c r="F51" s="4">
        <f>LN(D51/D50)</f>
        <v/>
      </c>
    </row>
    <row r="52">
      <c r="A52" t="n">
        <v>51</v>
      </c>
      <c r="B52" s="2" t="n">
        <v>45613</v>
      </c>
      <c r="C52" s="3" t="n">
        <v>5969.34</v>
      </c>
      <c r="D52" s="3" t="n">
        <v>229.87</v>
      </c>
      <c r="E52" s="4">
        <f>LN(C52/C51)</f>
        <v/>
      </c>
      <c r="F52" s="4">
        <f>LN(D52/D51)</f>
        <v/>
      </c>
    </row>
    <row r="53">
      <c r="A53" t="n">
        <v>52</v>
      </c>
      <c r="B53" s="2" t="n">
        <v>45606</v>
      </c>
      <c r="C53" s="3" t="n">
        <v>5870.62</v>
      </c>
      <c r="D53" s="3" t="n">
        <v>225</v>
      </c>
      <c r="E53" s="4">
        <f>LN(C53/C52)</f>
        <v/>
      </c>
      <c r="F53" s="4">
        <f>LN(D53/D52)</f>
        <v/>
      </c>
    </row>
    <row r="54">
      <c r="A54" t="n">
        <v>53</v>
      </c>
      <c r="B54" s="2" t="n">
        <v>45599</v>
      </c>
      <c r="C54" s="3" t="n">
        <v>5995.54</v>
      </c>
      <c r="D54" s="3" t="n">
        <v>226.96</v>
      </c>
      <c r="E54" s="4">
        <f>LN(C54/C53)</f>
        <v/>
      </c>
      <c r="F54" s="4">
        <f>LN(D54/D53)</f>
        <v/>
      </c>
    </row>
    <row r="55">
      <c r="A55" t="n">
        <v>54</v>
      </c>
      <c r="B55" s="2" t="n">
        <v>45592</v>
      </c>
      <c r="C55" s="3" t="n">
        <v>5728.8</v>
      </c>
      <c r="D55" s="3" t="n">
        <v>222.91</v>
      </c>
      <c r="E55" s="4">
        <f>LN(C55/C54)</f>
        <v/>
      </c>
      <c r="F55" s="4">
        <f>LN(D55/D54)</f>
        <v/>
      </c>
    </row>
    <row r="56">
      <c r="A56" t="n">
        <v>55</v>
      </c>
      <c r="B56" s="2" t="n">
        <v>45585</v>
      </c>
      <c r="C56" s="3" t="n">
        <v>5808.12</v>
      </c>
      <c r="D56" s="3" t="n">
        <v>231.41</v>
      </c>
      <c r="E56" s="4">
        <f>LN(C56/C55)</f>
        <v/>
      </c>
      <c r="F56" s="4">
        <f>LN(D56/D55)</f>
        <v/>
      </c>
    </row>
    <row r="57">
      <c r="A57" t="n">
        <v>56</v>
      </c>
      <c r="B57" s="2" t="n">
        <v>45578</v>
      </c>
      <c r="C57" s="3" t="n">
        <v>5864.67</v>
      </c>
      <c r="D57" s="3" t="n">
        <v>235</v>
      </c>
      <c r="E57" s="4">
        <f>LN(C57/C56)</f>
        <v/>
      </c>
      <c r="F57" s="4">
        <f>LN(D57/D56)</f>
        <v/>
      </c>
    </row>
    <row r="58">
      <c r="A58" t="n">
        <v>57</v>
      </c>
      <c r="B58" s="2" t="n">
        <v>45571</v>
      </c>
      <c r="C58" s="3" t="n">
        <v>5815.03</v>
      </c>
      <c r="D58" s="3" t="n">
        <v>227.55</v>
      </c>
      <c r="E58" s="4">
        <f>LN(C58/C57)</f>
        <v/>
      </c>
      <c r="F58" s="4">
        <f>LN(D58/D57)</f>
        <v/>
      </c>
    </row>
    <row r="59">
      <c r="A59" t="n">
        <v>58</v>
      </c>
      <c r="B59" s="2" t="n">
        <v>45564</v>
      </c>
      <c r="C59" s="3" t="n">
        <v>5751.07</v>
      </c>
      <c r="D59" s="3" t="n">
        <v>226.8</v>
      </c>
      <c r="E59" s="4">
        <f>LN(C59/C58)</f>
        <v/>
      </c>
      <c r="F59" s="4">
        <f>LN(D59/D58)</f>
        <v/>
      </c>
    </row>
    <row r="60">
      <c r="A60" t="n">
        <v>59</v>
      </c>
      <c r="B60" s="2" t="n">
        <v>45557</v>
      </c>
      <c r="C60" s="3" t="n">
        <v>5738.17</v>
      </c>
      <c r="D60" s="3" t="n">
        <v>227.79</v>
      </c>
      <c r="E60" s="4">
        <f>LN(C60/C59)</f>
        <v/>
      </c>
      <c r="F60" s="4">
        <f>LN(D60/D59)</f>
        <v/>
      </c>
    </row>
    <row r="61">
      <c r="A61" t="n">
        <v>60</v>
      </c>
      <c r="B61" s="2" t="n">
        <v>45550</v>
      </c>
      <c r="C61" s="3" t="n">
        <v>5702.55</v>
      </c>
      <c r="D61" s="3" t="n">
        <v>228.2</v>
      </c>
      <c r="E61" s="4">
        <f>LN(C61/C60)</f>
        <v/>
      </c>
      <c r="F61" s="4">
        <f>LN(D61/D60)</f>
        <v/>
      </c>
    </row>
    <row r="62">
      <c r="A62" t="n">
        <v>61</v>
      </c>
      <c r="B62" s="2" t="n">
        <v>45543</v>
      </c>
      <c r="C62" s="3" t="n">
        <v>5626.02</v>
      </c>
      <c r="D62" s="3" t="n">
        <v>222.5</v>
      </c>
      <c r="E62" s="4">
        <f>LN(C62/C61)</f>
        <v/>
      </c>
      <c r="F62" s="4">
        <f>LN(D62/D61)</f>
        <v/>
      </c>
    </row>
    <row r="63">
      <c r="A63" t="n">
        <v>62</v>
      </c>
      <c r="B63" s="2" t="n">
        <v>45536</v>
      </c>
      <c r="C63" s="3" t="n">
        <v>5408.42</v>
      </c>
      <c r="D63" s="3" t="n">
        <v>220.82</v>
      </c>
      <c r="E63" s="4">
        <f>LN(C63/C62)</f>
        <v/>
      </c>
      <c r="F63" s="4">
        <f>LN(D63/D62)</f>
        <v/>
      </c>
    </row>
    <row r="64">
      <c r="A64" t="n">
        <v>63</v>
      </c>
      <c r="B64" s="2" t="n">
        <v>45529</v>
      </c>
      <c r="C64" s="3" t="n">
        <v>5648.4</v>
      </c>
      <c r="D64" s="3" t="n">
        <v>229</v>
      </c>
      <c r="E64" s="4">
        <f>LN(C64/C63)</f>
        <v/>
      </c>
      <c r="F64" s="4">
        <f>LN(D64/D63)</f>
        <v/>
      </c>
    </row>
    <row r="65">
      <c r="A65" t="n">
        <v>64</v>
      </c>
      <c r="B65" s="2" t="n">
        <v>45522</v>
      </c>
      <c r="C65" s="3" t="n">
        <v>5634.61</v>
      </c>
      <c r="D65" s="3" t="n">
        <v>226.84</v>
      </c>
      <c r="E65" s="4">
        <f>LN(C65/C64)</f>
        <v/>
      </c>
      <c r="F65" s="4">
        <f>LN(D65/D64)</f>
        <v/>
      </c>
    </row>
    <row r="66">
      <c r="A66" t="n">
        <v>65</v>
      </c>
      <c r="B66" s="2" t="n">
        <v>45515</v>
      </c>
      <c r="C66" s="3" t="n">
        <v>5554.25</v>
      </c>
      <c r="D66" s="3" t="n">
        <v>226.05</v>
      </c>
      <c r="E66" s="4">
        <f>LN(C66/C65)</f>
        <v/>
      </c>
      <c r="F66" s="4">
        <f>LN(D66/D65)</f>
        <v/>
      </c>
    </row>
    <row r="67">
      <c r="A67" t="n">
        <v>66</v>
      </c>
      <c r="B67" s="2" t="n">
        <v>45508</v>
      </c>
      <c r="C67" s="3" t="n">
        <v>5344.16</v>
      </c>
      <c r="D67" s="3" t="n">
        <v>216.24</v>
      </c>
      <c r="E67" s="4">
        <f>LN(C67/C66)</f>
        <v/>
      </c>
      <c r="F67" s="4">
        <f>LN(D67/D66)</f>
        <v/>
      </c>
    </row>
    <row r="68">
      <c r="A68" t="n">
        <v>67</v>
      </c>
      <c r="B68" s="2" t="n">
        <v>45501</v>
      </c>
      <c r="C68" s="3" t="n">
        <v>5346.56</v>
      </c>
      <c r="D68" s="3" t="n">
        <v>219.86</v>
      </c>
      <c r="E68" s="4">
        <f>LN(C68/C67)</f>
        <v/>
      </c>
      <c r="F68" s="4">
        <f>LN(D68/D67)</f>
        <v/>
      </c>
    </row>
    <row r="69">
      <c r="A69" t="n">
        <v>68</v>
      </c>
      <c r="B69" s="2" t="n">
        <v>45494</v>
      </c>
      <c r="C69" s="3" t="n">
        <v>5459.1</v>
      </c>
      <c r="D69" s="3" t="n">
        <v>217.96</v>
      </c>
      <c r="E69" s="4">
        <f>LN(C69/C68)</f>
        <v/>
      </c>
      <c r="F69" s="4">
        <f>LN(D69/D68)</f>
        <v/>
      </c>
    </row>
    <row r="70">
      <c r="A70" t="n">
        <v>69</v>
      </c>
      <c r="B70" s="2" t="n">
        <v>45487</v>
      </c>
      <c r="C70" s="3" t="n">
        <v>5505</v>
      </c>
      <c r="D70" s="3" t="n">
        <v>224.31</v>
      </c>
      <c r="E70" s="4">
        <f>LN(C70/C69)</f>
        <v/>
      </c>
      <c r="F70" s="4">
        <f>LN(D70/D69)</f>
        <v/>
      </c>
    </row>
    <row r="71">
      <c r="A71" t="n">
        <v>70</v>
      </c>
      <c r="B71" s="2" t="n">
        <v>45480</v>
      </c>
      <c r="C71" s="3" t="n">
        <v>5615.35</v>
      </c>
      <c r="D71" s="3" t="n">
        <v>230.54</v>
      </c>
      <c r="E71" s="4">
        <f>LN(C71/C70)</f>
        <v/>
      </c>
      <c r="F71" s="4">
        <f>LN(D71/D70)</f>
        <v/>
      </c>
    </row>
    <row r="72">
      <c r="A72" t="n">
        <v>71</v>
      </c>
      <c r="B72" s="2" t="n">
        <v>45473</v>
      </c>
      <c r="C72" s="3" t="n">
        <v>5567.19</v>
      </c>
      <c r="D72" s="3" t="n">
        <v>226.34</v>
      </c>
      <c r="E72" s="4">
        <f>LN(C72/C71)</f>
        <v/>
      </c>
      <c r="F72" s="4">
        <f>LN(D72/D71)</f>
        <v/>
      </c>
    </row>
    <row r="73">
      <c r="A73" t="n">
        <v>72</v>
      </c>
      <c r="B73" s="2" t="n">
        <v>45466</v>
      </c>
      <c r="C73" s="3" t="n">
        <v>5460.48</v>
      </c>
      <c r="D73" s="3" t="n">
        <v>210.62</v>
      </c>
      <c r="E73" s="4">
        <f>LN(C73/C72)</f>
        <v/>
      </c>
      <c r="F73" s="4">
        <f>LN(D73/D72)</f>
        <v/>
      </c>
    </row>
    <row r="74">
      <c r="A74" t="n">
        <v>73</v>
      </c>
      <c r="B74" s="2" t="n">
        <v>45459</v>
      </c>
      <c r="C74" s="3" t="n">
        <v>5464.62</v>
      </c>
      <c r="D74" s="3" t="n">
        <v>207.49</v>
      </c>
      <c r="E74" s="4">
        <f>LN(C74/C73)</f>
        <v/>
      </c>
      <c r="F74" s="4">
        <f>LN(D74/D73)</f>
        <v/>
      </c>
    </row>
    <row r="75">
      <c r="A75" t="n">
        <v>74</v>
      </c>
      <c r="B75" s="2" t="n">
        <v>45452</v>
      </c>
      <c r="C75" s="3" t="n">
        <v>5431.6</v>
      </c>
      <c r="D75" s="3" t="n">
        <v>212.49</v>
      </c>
      <c r="E75" s="4">
        <f>LN(C75/C74)</f>
        <v/>
      </c>
      <c r="F75" s="4">
        <f>LN(D75/D74)</f>
        <v/>
      </c>
    </row>
    <row r="76">
      <c r="A76" t="n">
        <v>75</v>
      </c>
      <c r="B76" s="2" t="n">
        <v>45445</v>
      </c>
      <c r="C76" s="3" t="n">
        <v>5346.99</v>
      </c>
      <c r="D76" s="3" t="n">
        <v>196.89</v>
      </c>
      <c r="E76" s="4">
        <f>LN(C76/C75)</f>
        <v/>
      </c>
      <c r="F76" s="4">
        <f>LN(D76/D75)</f>
        <v/>
      </c>
    </row>
    <row r="77">
      <c r="A77" t="n">
        <v>76</v>
      </c>
      <c r="B77" s="2" t="n">
        <v>45438</v>
      </c>
      <c r="C77" s="3" t="n">
        <v>5277.51</v>
      </c>
      <c r="D77" s="3" t="n">
        <v>192.25</v>
      </c>
      <c r="E77" s="4">
        <f>LN(C77/C76)</f>
        <v/>
      </c>
      <c r="F77" s="4">
        <f>LN(D77/D76)</f>
        <v/>
      </c>
    </row>
    <row r="78">
      <c r="A78" t="n">
        <v>77</v>
      </c>
      <c r="B78" s="2" t="n">
        <v>45431</v>
      </c>
      <c r="C78" s="3" t="n">
        <v>5304.72</v>
      </c>
      <c r="D78" s="3" t="n">
        <v>189.98</v>
      </c>
      <c r="E78" s="4">
        <f>LN(C78/C77)</f>
        <v/>
      </c>
      <c r="F78" s="4">
        <f>LN(D78/D77)</f>
        <v/>
      </c>
    </row>
    <row r="79">
      <c r="A79" t="n">
        <v>78</v>
      </c>
      <c r="B79" s="2" t="n">
        <v>45424</v>
      </c>
      <c r="C79" s="3" t="n">
        <v>5303.27</v>
      </c>
      <c r="D79" s="3" t="n">
        <v>189.87</v>
      </c>
      <c r="E79" s="4">
        <f>LN(C79/C78)</f>
        <v/>
      </c>
      <c r="F79" s="4">
        <f>LN(D79/D78)</f>
        <v/>
      </c>
    </row>
    <row r="80">
      <c r="A80" t="n">
        <v>79</v>
      </c>
      <c r="B80" s="2" t="n">
        <v>45417</v>
      </c>
      <c r="C80" s="3" t="n">
        <v>5222.68</v>
      </c>
      <c r="D80" s="3" t="n">
        <v>183.05</v>
      </c>
      <c r="E80" s="4">
        <f>LN(C80/C79)</f>
        <v/>
      </c>
      <c r="F80" s="4">
        <f>LN(D80/D79)</f>
        <v/>
      </c>
    </row>
    <row r="81">
      <c r="A81" t="n">
        <v>80</v>
      </c>
      <c r="B81" s="2" t="n">
        <v>45410</v>
      </c>
      <c r="C81" s="3" t="n">
        <v>5127.79</v>
      </c>
      <c r="D81" s="3" t="n">
        <v>183.38</v>
      </c>
      <c r="E81" s="4">
        <f>LN(C81/C80)</f>
        <v/>
      </c>
      <c r="F81" s="4">
        <f>LN(D81/D80)</f>
        <v/>
      </c>
    </row>
    <row r="82">
      <c r="A82" t="n">
        <v>81</v>
      </c>
      <c r="B82" s="2" t="n">
        <v>45403</v>
      </c>
      <c r="C82" s="3" t="n">
        <v>5099.96</v>
      </c>
      <c r="D82" s="3" t="n">
        <v>169.3</v>
      </c>
      <c r="E82" s="4">
        <f>LN(C82/C81)</f>
        <v/>
      </c>
      <c r="F82" s="4">
        <f>LN(D82/D81)</f>
        <v/>
      </c>
    </row>
    <row r="83">
      <c r="A83" t="n">
        <v>82</v>
      </c>
      <c r="B83" s="2" t="n">
        <v>45396</v>
      </c>
      <c r="C83" s="3" t="n">
        <v>4967.23</v>
      </c>
      <c r="D83" s="3" t="n">
        <v>165</v>
      </c>
      <c r="E83" s="4">
        <f>LN(C83/C82)</f>
        <v/>
      </c>
      <c r="F83" s="4">
        <f>LN(D83/D82)</f>
        <v/>
      </c>
    </row>
    <row r="84">
      <c r="A84" t="n">
        <v>83</v>
      </c>
      <c r="B84" s="2" t="n">
        <v>45389</v>
      </c>
      <c r="C84" s="3" t="n">
        <v>5123.41</v>
      </c>
      <c r="D84" s="3" t="n">
        <v>176.55</v>
      </c>
      <c r="E84" s="4">
        <f>LN(C84/C83)</f>
        <v/>
      </c>
      <c r="F84" s="4">
        <f>LN(D84/D83)</f>
        <v/>
      </c>
    </row>
    <row r="85">
      <c r="A85" t="n">
        <v>84</v>
      </c>
      <c r="B85" s="2" t="n">
        <v>45382</v>
      </c>
      <c r="C85" s="3" t="n">
        <v>5204.34</v>
      </c>
      <c r="D85" s="3" t="n">
        <v>169.58</v>
      </c>
      <c r="E85" s="4">
        <f>LN(C85/C84)</f>
        <v/>
      </c>
      <c r="F85" s="4">
        <f>LN(D85/D84)</f>
        <v/>
      </c>
    </row>
    <row r="86">
      <c r="A86" t="n">
        <v>85</v>
      </c>
      <c r="B86" s="2" t="n">
        <v>45375</v>
      </c>
      <c r="C86" s="3" t="n">
        <v>5254.35</v>
      </c>
      <c r="D86" s="3" t="n">
        <v>171.48</v>
      </c>
      <c r="E86" s="4">
        <f>LN(C86/C85)</f>
        <v/>
      </c>
      <c r="F86" s="4">
        <f>LN(D86/D85)</f>
        <v/>
      </c>
    </row>
    <row r="87">
      <c r="A87" t="n">
        <v>86</v>
      </c>
      <c r="B87" s="2" t="n">
        <v>45368</v>
      </c>
      <c r="C87" s="3" t="n">
        <v>5234.18</v>
      </c>
      <c r="D87" s="3" t="n">
        <v>172.28</v>
      </c>
      <c r="E87" s="4">
        <f>LN(C87/C86)</f>
        <v/>
      </c>
      <c r="F87" s="4">
        <f>LN(D87/D86)</f>
        <v/>
      </c>
    </row>
    <row r="88">
      <c r="A88" t="n">
        <v>87</v>
      </c>
      <c r="B88" s="2" t="n">
        <v>45361</v>
      </c>
      <c r="C88" s="3" t="n">
        <v>5117.09</v>
      </c>
      <c r="D88" s="3" t="n">
        <v>172.62</v>
      </c>
      <c r="E88" s="4">
        <f>LN(C88/C87)</f>
        <v/>
      </c>
      <c r="F88" s="4">
        <f>LN(D88/D87)</f>
        <v/>
      </c>
    </row>
    <row r="89">
      <c r="A89" t="n">
        <v>88</v>
      </c>
      <c r="B89" s="2" t="n">
        <v>45354</v>
      </c>
      <c r="C89" s="3" t="n">
        <v>5123.69</v>
      </c>
      <c r="D89" s="3" t="n">
        <v>170.73</v>
      </c>
      <c r="E89" s="4">
        <f>LN(C89/C88)</f>
        <v/>
      </c>
      <c r="F89" s="4">
        <f>LN(D89/D88)</f>
        <v/>
      </c>
    </row>
    <row r="90">
      <c r="A90" t="n">
        <v>89</v>
      </c>
      <c r="B90" s="2" t="n">
        <v>45347</v>
      </c>
      <c r="C90" s="3" t="n">
        <v>5137.08</v>
      </c>
      <c r="D90" s="3" t="n">
        <v>179.66</v>
      </c>
      <c r="E90" s="4">
        <f>LN(C90/C89)</f>
        <v/>
      </c>
      <c r="F90" s="4">
        <f>LN(D90/D89)</f>
        <v/>
      </c>
    </row>
    <row r="91">
      <c r="A91" t="n">
        <v>90</v>
      </c>
      <c r="B91" s="2" t="n">
        <v>45340</v>
      </c>
      <c r="C91" s="3" t="n">
        <v>5088.8</v>
      </c>
      <c r="D91" s="3" t="n">
        <v>182.52</v>
      </c>
      <c r="E91" s="4">
        <f>LN(C91/C90)</f>
        <v/>
      </c>
      <c r="F91" s="4">
        <f>LN(D91/D90)</f>
        <v/>
      </c>
    </row>
    <row r="92">
      <c r="A92" t="n">
        <v>91</v>
      </c>
      <c r="B92" s="2" t="n">
        <v>45333</v>
      </c>
      <c r="C92" s="3" t="n">
        <v>5005.57</v>
      </c>
      <c r="D92" s="3" t="n">
        <v>182.31</v>
      </c>
      <c r="E92" s="4">
        <f>LN(C92/C91)</f>
        <v/>
      </c>
      <c r="F92" s="4">
        <f>LN(D92/D91)</f>
        <v/>
      </c>
    </row>
    <row r="93">
      <c r="A93" t="n">
        <v>92</v>
      </c>
      <c r="B93" s="2" t="n">
        <v>45326</v>
      </c>
      <c r="C93" s="3" t="n">
        <v>5026.61</v>
      </c>
      <c r="D93" s="3" t="n">
        <v>188.85</v>
      </c>
      <c r="E93" s="4">
        <f>LN(C93/C92)</f>
        <v/>
      </c>
      <c r="F93" s="4">
        <f>LN(D93/D92)</f>
        <v/>
      </c>
    </row>
    <row r="94">
      <c r="A94" t="n">
        <v>93</v>
      </c>
      <c r="B94" s="2" t="n">
        <v>45319</v>
      </c>
      <c r="C94" s="3" t="n">
        <v>4958.61</v>
      </c>
      <c r="D94" s="3" t="n">
        <v>185.85</v>
      </c>
      <c r="E94" s="4">
        <f>LN(C94/C93)</f>
        <v/>
      </c>
      <c r="F94" s="4">
        <f>LN(D94/D93)</f>
        <v/>
      </c>
    </row>
    <row r="95">
      <c r="A95" t="n">
        <v>94</v>
      </c>
      <c r="B95" s="2" t="n">
        <v>45312</v>
      </c>
      <c r="C95" s="3" t="n">
        <v>4890.97</v>
      </c>
      <c r="D95" s="3" t="n">
        <v>192.42</v>
      </c>
      <c r="E95" s="4">
        <f>LN(C95/C94)</f>
        <v/>
      </c>
      <c r="F95" s="4">
        <f>LN(D95/D94)</f>
        <v/>
      </c>
    </row>
    <row r="96">
      <c r="A96" t="n">
        <v>95</v>
      </c>
      <c r="B96" s="2" t="n">
        <v>45305</v>
      </c>
      <c r="C96" s="3" t="n">
        <v>4839.81</v>
      </c>
      <c r="D96" s="3" t="n">
        <v>191.56</v>
      </c>
      <c r="E96" s="4">
        <f>LN(C96/C95)</f>
        <v/>
      </c>
      <c r="F96" s="4">
        <f>LN(D96/D95)</f>
        <v/>
      </c>
    </row>
    <row r="97">
      <c r="A97" t="n">
        <v>96</v>
      </c>
      <c r="B97" s="2" t="n">
        <v>45298</v>
      </c>
      <c r="C97" s="3" t="n">
        <v>4783.83</v>
      </c>
      <c r="D97" s="3" t="n">
        <v>185.92</v>
      </c>
      <c r="E97" s="4">
        <f>LN(C97/C96)</f>
        <v/>
      </c>
      <c r="F97" s="4">
        <f>LN(D97/D96)</f>
        <v/>
      </c>
    </row>
    <row r="98">
      <c r="A98" t="n">
        <v>97</v>
      </c>
      <c r="B98" s="2" t="n">
        <v>45291</v>
      </c>
      <c r="C98" s="3" t="n">
        <v>4697.24</v>
      </c>
      <c r="D98" s="3" t="n">
        <v>181.18</v>
      </c>
      <c r="E98" s="4">
        <f>LN(C98/C97)</f>
        <v/>
      </c>
      <c r="F98" s="4">
        <f>LN(D98/D97)</f>
        <v/>
      </c>
    </row>
    <row r="99">
      <c r="A99" t="n">
        <v>98</v>
      </c>
      <c r="B99" s="2" t="n">
        <v>45284</v>
      </c>
      <c r="C99" s="3" t="n">
        <v>4769.83</v>
      </c>
      <c r="D99" s="3" t="n">
        <v>192.53</v>
      </c>
      <c r="E99" s="4">
        <f>LN(C99/C98)</f>
        <v/>
      </c>
      <c r="F99" s="4">
        <f>LN(D99/D98)</f>
        <v/>
      </c>
    </row>
    <row r="100">
      <c r="A100" t="n">
        <v>99</v>
      </c>
      <c r="B100" s="2" t="n">
        <v>45277</v>
      </c>
      <c r="C100" s="3" t="n">
        <v>4754.63</v>
      </c>
      <c r="D100" s="3" t="n">
        <v>193.6</v>
      </c>
      <c r="E100" s="4">
        <f>LN(C100/C99)</f>
        <v/>
      </c>
      <c r="F100" s="4">
        <f>LN(D100/D99)</f>
        <v/>
      </c>
    </row>
    <row r="101">
      <c r="A101" t="n">
        <v>100</v>
      </c>
      <c r="B101" s="2" t="n">
        <v>45270</v>
      </c>
      <c r="C101" s="3" t="n">
        <v>4719.19</v>
      </c>
      <c r="D101" s="3" t="n">
        <v>197.57</v>
      </c>
      <c r="E101" s="4">
        <f>LN(C101/C100)</f>
        <v/>
      </c>
      <c r="F101" s="4">
        <f>LN(D101/D100)</f>
        <v/>
      </c>
    </row>
    <row r="102">
      <c r="A102" t="n">
        <v>101</v>
      </c>
      <c r="B102" s="2" t="n">
        <v>45263</v>
      </c>
      <c r="C102" s="3" t="n">
        <v>4604.37</v>
      </c>
      <c r="D102" s="3" t="n">
        <v>195.71</v>
      </c>
      <c r="E102" s="4">
        <f>LN(C102/C101)</f>
        <v/>
      </c>
      <c r="F102" s="4">
        <f>LN(D102/D101)</f>
        <v/>
      </c>
    </row>
    <row r="103">
      <c r="A103" t="n">
        <v>102</v>
      </c>
      <c r="B103" s="2" t="n">
        <v>45256</v>
      </c>
      <c r="C103" s="3" t="n">
        <v>4594.63</v>
      </c>
      <c r="D103" s="3" t="n">
        <v>191.24</v>
      </c>
      <c r="E103" s="4">
        <f>LN(C103/C102)</f>
        <v/>
      </c>
      <c r="F103" s="4">
        <f>LN(D103/D102)</f>
        <v/>
      </c>
    </row>
    <row r="104">
      <c r="A104" t="n">
        <v>103</v>
      </c>
      <c r="B104" s="2" t="n">
        <v>45249</v>
      </c>
      <c r="C104" s="3" t="n">
        <v>4559.34</v>
      </c>
      <c r="D104" s="3" t="n">
        <v>189.97</v>
      </c>
      <c r="E104" s="4">
        <f>LN(C104/C103)</f>
        <v/>
      </c>
      <c r="F104" s="4">
        <f>LN(D104/D103)</f>
        <v/>
      </c>
    </row>
    <row r="105">
      <c r="A105" t="n">
        <v>104</v>
      </c>
      <c r="B105" s="2" t="n">
        <v>45242</v>
      </c>
      <c r="C105" s="3" t="n">
        <v>4514.02</v>
      </c>
      <c r="D105" s="3" t="n">
        <v>189.69</v>
      </c>
      <c r="E105" s="4">
        <f>LN(C105/C104)</f>
        <v/>
      </c>
      <c r="F105" s="4">
        <f>LN(D105/D104)</f>
        <v/>
      </c>
    </row>
    <row r="106">
      <c r="A106" t="n">
        <v>105</v>
      </c>
      <c r="B106" s="2" t="n">
        <v>45235</v>
      </c>
      <c r="C106" s="3" t="n">
        <v>4415.24</v>
      </c>
      <c r="D106" s="3" t="n">
        <v>186.4</v>
      </c>
      <c r="E106" s="4">
        <f>LN(C106/C105)</f>
        <v/>
      </c>
      <c r="F106" s="4">
        <f>LN(D106/D105)</f>
        <v/>
      </c>
    </row>
    <row r="107">
      <c r="A107" t="n">
        <v>106</v>
      </c>
      <c r="B107" s="2" t="n">
        <v>45228</v>
      </c>
      <c r="C107" s="3" t="n">
        <v>4358.34</v>
      </c>
      <c r="D107" s="3" t="n">
        <v>176.65</v>
      </c>
      <c r="E107" s="4">
        <f>LN(C107/C106)</f>
        <v/>
      </c>
      <c r="F107" s="4">
        <f>LN(D107/D106)</f>
        <v/>
      </c>
    </row>
    <row r="108">
      <c r="A108" t="n">
        <v>107</v>
      </c>
      <c r="B108" s="2" t="n">
        <v>45221</v>
      </c>
      <c r="C108" s="3" t="n">
        <v>4117.37</v>
      </c>
      <c r="D108" s="3" t="n">
        <v>168.22</v>
      </c>
      <c r="E108" s="4">
        <f>LN(C108/C107)</f>
        <v/>
      </c>
      <c r="F108" s="4">
        <f>LN(D108/D107)</f>
        <v/>
      </c>
    </row>
    <row r="109">
      <c r="A109" t="n">
        <v>108</v>
      </c>
      <c r="B109" s="2" t="n">
        <v>45214</v>
      </c>
      <c r="C109" s="3" t="n">
        <v>4224.16</v>
      </c>
      <c r="D109" s="3" t="n">
        <v>172.88</v>
      </c>
      <c r="E109" s="4">
        <f>LN(C109/C108)</f>
        <v/>
      </c>
      <c r="F109" s="4">
        <f>LN(D109/D108)</f>
        <v/>
      </c>
    </row>
    <row r="110">
      <c r="A110" t="n">
        <v>109</v>
      </c>
      <c r="B110" s="2" t="n">
        <v>45207</v>
      </c>
      <c r="C110" s="3" t="n">
        <v>4327.78</v>
      </c>
      <c r="D110" s="3" t="n">
        <v>178.85</v>
      </c>
      <c r="E110" s="4">
        <f>LN(C110/C109)</f>
        <v/>
      </c>
      <c r="F110" s="4">
        <f>LN(D110/D109)</f>
        <v/>
      </c>
    </row>
    <row r="111">
      <c r="A111" t="n">
        <v>110</v>
      </c>
      <c r="B111" s="2" t="n">
        <v>45200</v>
      </c>
      <c r="C111" s="3" t="n">
        <v>4308.5</v>
      </c>
      <c r="D111" s="3" t="n">
        <v>177.49</v>
      </c>
      <c r="E111" s="4">
        <f>LN(C111/C110)</f>
        <v/>
      </c>
      <c r="F111" s="4">
        <f>LN(D111/D110)</f>
        <v/>
      </c>
    </row>
    <row r="112">
      <c r="A112" t="n">
        <v>111</v>
      </c>
      <c r="B112" s="2" t="n">
        <v>45193</v>
      </c>
      <c r="C112" s="3" t="n">
        <v>4288.05</v>
      </c>
      <c r="D112" s="3" t="n">
        <v>171.21</v>
      </c>
      <c r="E112" s="4">
        <f>LN(C112/C111)</f>
        <v/>
      </c>
      <c r="F112" s="4">
        <f>LN(D112/D111)</f>
        <v/>
      </c>
    </row>
    <row r="113">
      <c r="A113" t="n">
        <v>112</v>
      </c>
      <c r="B113" s="2" t="n">
        <v>45186</v>
      </c>
      <c r="C113" s="3" t="n">
        <v>4320.06</v>
      </c>
      <c r="D113" s="3" t="n">
        <v>174.79</v>
      </c>
      <c r="E113" s="4">
        <f>LN(C113/C112)</f>
        <v/>
      </c>
      <c r="F113" s="4">
        <f>LN(D113/D112)</f>
        <v/>
      </c>
    </row>
    <row r="114">
      <c r="A114" t="n">
        <v>113</v>
      </c>
      <c r="B114" s="2" t="n">
        <v>45179</v>
      </c>
      <c r="C114" s="3" t="n">
        <v>4450.32</v>
      </c>
      <c r="D114" s="3" t="n">
        <v>175.01</v>
      </c>
      <c r="E114" s="4">
        <f>LN(C114/C113)</f>
        <v/>
      </c>
      <c r="F114" s="4">
        <f>LN(D114/D113)</f>
        <v/>
      </c>
    </row>
    <row r="115">
      <c r="A115" t="n">
        <v>114</v>
      </c>
      <c r="B115" s="2" t="n">
        <v>45172</v>
      </c>
      <c r="C115" s="3" t="n">
        <v>4457.49</v>
      </c>
      <c r="D115" s="3" t="n">
        <v>178.18</v>
      </c>
      <c r="E115" s="4">
        <f>LN(C115/C114)</f>
        <v/>
      </c>
      <c r="F115" s="4">
        <f>LN(D115/D114)</f>
        <v/>
      </c>
    </row>
    <row r="116">
      <c r="A116" t="n">
        <v>115</v>
      </c>
      <c r="B116" s="2" t="n">
        <v>45165</v>
      </c>
      <c r="C116" s="3" t="n">
        <v>4515.77</v>
      </c>
      <c r="D116" s="3" t="n">
        <v>189.46</v>
      </c>
      <c r="E116" s="4">
        <f>LN(C116/C115)</f>
        <v/>
      </c>
      <c r="F116" s="4">
        <f>LN(D116/D115)</f>
        <v/>
      </c>
    </row>
    <row r="117">
      <c r="A117" t="n">
        <v>116</v>
      </c>
      <c r="B117" s="2" t="n">
        <v>45158</v>
      </c>
      <c r="C117" s="3" t="n">
        <v>4405.71</v>
      </c>
      <c r="D117" s="3" t="n">
        <v>178.61</v>
      </c>
      <c r="E117" s="4">
        <f>LN(C117/C116)</f>
        <v/>
      </c>
      <c r="F117" s="4">
        <f>LN(D117/D116)</f>
        <v/>
      </c>
    </row>
    <row r="118">
      <c r="A118" t="n">
        <v>117</v>
      </c>
      <c r="B118" s="2" t="n">
        <v>45151</v>
      </c>
      <c r="C118" s="3" t="n">
        <v>4369.71</v>
      </c>
      <c r="D118" s="3" t="n">
        <v>174.49</v>
      </c>
      <c r="E118" s="4">
        <f>LN(C118/C117)</f>
        <v/>
      </c>
      <c r="F118" s="4">
        <f>LN(D118/D117)</f>
        <v/>
      </c>
    </row>
    <row r="119">
      <c r="A119" t="n">
        <v>118</v>
      </c>
      <c r="B119" s="2" t="n">
        <v>45144</v>
      </c>
      <c r="C119" s="3" t="n">
        <v>4464.05</v>
      </c>
      <c r="D119" s="3" t="n">
        <v>177.79</v>
      </c>
      <c r="E119" s="4">
        <f>LN(C119/C118)</f>
        <v/>
      </c>
      <c r="F119" s="4">
        <f>LN(D119/D118)</f>
        <v/>
      </c>
    </row>
    <row r="120">
      <c r="A120" t="n">
        <v>119</v>
      </c>
      <c r="B120" s="2" t="n">
        <v>45137</v>
      </c>
      <c r="C120" s="3" t="n">
        <v>4478.03</v>
      </c>
      <c r="D120" s="3" t="n">
        <v>181.99</v>
      </c>
      <c r="E120" s="4">
        <f>LN(C120/C119)</f>
        <v/>
      </c>
      <c r="F120" s="4">
        <f>LN(D120/D119)</f>
        <v/>
      </c>
    </row>
    <row r="121">
      <c r="A121" t="n">
        <v>120</v>
      </c>
      <c r="B121" s="2" t="n">
        <v>45130</v>
      </c>
      <c r="C121" s="3" t="n">
        <v>4582.23</v>
      </c>
      <c r="D121" s="3" t="n">
        <v>195.83</v>
      </c>
      <c r="E121" s="4">
        <f>LN(C121/C120)</f>
        <v/>
      </c>
      <c r="F121" s="4">
        <f>LN(D121/D120)</f>
        <v/>
      </c>
    </row>
    <row r="122">
      <c r="A122" t="n">
        <v>121</v>
      </c>
      <c r="B122" s="2" t="n">
        <v>45123</v>
      </c>
      <c r="C122" s="3" t="n">
        <v>4536.34</v>
      </c>
      <c r="D122" s="3" t="n">
        <v>191.94</v>
      </c>
      <c r="E122" s="4">
        <f>LN(C122/C121)</f>
        <v/>
      </c>
      <c r="F122" s="4">
        <f>LN(D122/D121)</f>
        <v/>
      </c>
    </row>
    <row r="123">
      <c r="A123" t="n">
        <v>122</v>
      </c>
      <c r="B123" s="2" t="n">
        <v>45116</v>
      </c>
      <c r="C123" s="3" t="n">
        <v>4505.42</v>
      </c>
      <c r="D123" s="3" t="n">
        <v>190.69</v>
      </c>
      <c r="E123" s="4">
        <f>LN(C123/C122)</f>
        <v/>
      </c>
      <c r="F123" s="4">
        <f>LN(D123/D122)</f>
        <v/>
      </c>
    </row>
    <row r="124">
      <c r="A124" t="n">
        <v>123</v>
      </c>
      <c r="B124" s="2" t="n">
        <v>45109</v>
      </c>
      <c r="C124" s="3" t="n">
        <v>4398.95</v>
      </c>
      <c r="D124" s="3" t="n">
        <v>190.68</v>
      </c>
      <c r="E124" s="4">
        <f>LN(C124/C123)</f>
        <v/>
      </c>
      <c r="F124" s="4">
        <f>LN(D124/D123)</f>
        <v/>
      </c>
    </row>
    <row r="125">
      <c r="A125" t="n">
        <v>124</v>
      </c>
      <c r="B125" s="2" t="n">
        <v>45102</v>
      </c>
      <c r="C125" s="3" t="n">
        <v>4450.38</v>
      </c>
      <c r="D125" s="3" t="n">
        <v>193.97</v>
      </c>
      <c r="E125" s="4">
        <f>LN(C125/C124)</f>
        <v/>
      </c>
      <c r="F125" s="4">
        <f>LN(D125/D124)</f>
        <v/>
      </c>
    </row>
    <row r="126">
      <c r="A126" t="n">
        <v>125</v>
      </c>
      <c r="B126" s="2" t="n">
        <v>45095</v>
      </c>
      <c r="C126" s="3" t="n">
        <v>4348.33</v>
      </c>
      <c r="D126" s="3" t="n">
        <v>186.68</v>
      </c>
      <c r="E126" s="4">
        <f>LN(C126/C125)</f>
        <v/>
      </c>
      <c r="F126" s="4">
        <f>LN(D126/D125)</f>
        <v/>
      </c>
    </row>
    <row r="127">
      <c r="A127" t="n">
        <v>126</v>
      </c>
      <c r="B127" s="2" t="n">
        <v>45088</v>
      </c>
      <c r="C127" s="3" t="n">
        <v>4409.59</v>
      </c>
      <c r="D127" s="3" t="n">
        <v>184.92</v>
      </c>
      <c r="E127" s="4">
        <f>LN(C127/C126)</f>
        <v/>
      </c>
      <c r="F127" s="4">
        <f>LN(D127/D126)</f>
        <v/>
      </c>
    </row>
    <row r="128">
      <c r="A128" t="n">
        <v>127</v>
      </c>
      <c r="B128" s="2" t="n">
        <v>45081</v>
      </c>
      <c r="C128" s="3" t="n">
        <v>4298.86</v>
      </c>
      <c r="D128" s="3" t="n">
        <v>180.96</v>
      </c>
      <c r="E128" s="4">
        <f>LN(C128/C127)</f>
        <v/>
      </c>
      <c r="F128" s="4">
        <f>LN(D128/D127)</f>
        <v/>
      </c>
    </row>
    <row r="129">
      <c r="A129" t="n">
        <v>128</v>
      </c>
      <c r="B129" s="2" t="n">
        <v>45074</v>
      </c>
      <c r="C129" s="3" t="n">
        <v>4282.37</v>
      </c>
      <c r="D129" s="3" t="n">
        <v>180.95</v>
      </c>
      <c r="E129" s="4">
        <f>LN(C129/C128)</f>
        <v/>
      </c>
      <c r="F129" s="4">
        <f>LN(D129/D128)</f>
        <v/>
      </c>
    </row>
    <row r="130">
      <c r="A130" t="n">
        <v>129</v>
      </c>
      <c r="B130" s="2" t="n">
        <v>45067</v>
      </c>
      <c r="C130" s="3" t="n">
        <v>4205.45</v>
      </c>
      <c r="D130" s="3" t="n">
        <v>175.43</v>
      </c>
      <c r="E130" s="4">
        <f>LN(C130/C129)</f>
        <v/>
      </c>
      <c r="F130" s="4">
        <f>LN(D130/D129)</f>
        <v/>
      </c>
    </row>
    <row r="131">
      <c r="A131" t="n">
        <v>130</v>
      </c>
      <c r="B131" s="2" t="n">
        <v>45060</v>
      </c>
      <c r="C131" s="3" t="n">
        <v>4191.98</v>
      </c>
      <c r="D131" s="3" t="n">
        <v>175.16</v>
      </c>
      <c r="E131" s="4">
        <f>LN(C131/C130)</f>
        <v/>
      </c>
      <c r="F131" s="4">
        <f>LN(D131/D130)</f>
        <v/>
      </c>
    </row>
    <row r="132">
      <c r="A132" t="n">
        <v>131</v>
      </c>
      <c r="B132" s="2" t="n">
        <v>45053</v>
      </c>
      <c r="C132" s="3" t="n">
        <v>4124.08</v>
      </c>
      <c r="D132" s="3" t="n">
        <v>172.57</v>
      </c>
      <c r="E132" s="4">
        <f>LN(C132/C131)</f>
        <v/>
      </c>
      <c r="F132" s="4">
        <f>LN(D132/D131)</f>
        <v/>
      </c>
    </row>
    <row r="133">
      <c r="A133" t="n">
        <v>132</v>
      </c>
      <c r="B133" s="2" t="n">
        <v>45046</v>
      </c>
      <c r="C133" s="3" t="n">
        <v>4136.25</v>
      </c>
      <c r="D133" s="3" t="n">
        <v>173.57</v>
      </c>
      <c r="E133" s="4">
        <f>LN(C133/C132)</f>
        <v/>
      </c>
      <c r="F133" s="4">
        <f>LN(D133/D132)</f>
        <v/>
      </c>
    </row>
    <row r="134">
      <c r="A134" t="n">
        <v>133</v>
      </c>
      <c r="B134" s="2" t="n">
        <v>45039</v>
      </c>
      <c r="C134" s="3" t="n">
        <v>4169.48</v>
      </c>
      <c r="D134" s="3" t="n">
        <v>169.68</v>
      </c>
      <c r="E134" s="4">
        <f>LN(C134/C133)</f>
        <v/>
      </c>
      <c r="F134" s="4">
        <f>LN(D134/D133)</f>
        <v/>
      </c>
    </row>
    <row r="135">
      <c r="A135" t="n">
        <v>134</v>
      </c>
      <c r="B135" s="2" t="n">
        <v>45032</v>
      </c>
      <c r="C135" s="3" t="n">
        <v>4133.52</v>
      </c>
      <c r="D135" s="3" t="n">
        <v>165.02</v>
      </c>
      <c r="E135" s="4">
        <f>LN(C135/C134)</f>
        <v/>
      </c>
      <c r="F135" s="4">
        <f>LN(D135/D134)</f>
        <v/>
      </c>
    </row>
    <row r="136">
      <c r="A136" t="n">
        <v>135</v>
      </c>
      <c r="B136" s="2" t="n">
        <v>45025</v>
      </c>
      <c r="C136" s="3" t="n">
        <v>4137.64</v>
      </c>
      <c r="D136" s="3" t="n">
        <v>165.21</v>
      </c>
      <c r="E136" s="4">
        <f>LN(C136/C135)</f>
        <v/>
      </c>
      <c r="F136" s="4">
        <f>LN(D136/D135)</f>
        <v/>
      </c>
    </row>
    <row r="137">
      <c r="A137" t="n">
        <v>136</v>
      </c>
      <c r="B137" s="2" t="n">
        <v>45018</v>
      </c>
      <c r="C137" s="3" t="n">
        <v>4105.02</v>
      </c>
      <c r="D137" s="3" t="n">
        <v>164.66</v>
      </c>
      <c r="E137" s="4">
        <f>LN(C137/C136)</f>
        <v/>
      </c>
      <c r="F137" s="4">
        <f>LN(D137/D136)</f>
        <v/>
      </c>
    </row>
    <row r="138">
      <c r="A138" t="n">
        <v>137</v>
      </c>
      <c r="B138" s="2" t="n">
        <v>45011</v>
      </c>
      <c r="C138" s="3" t="n">
        <v>4109.31</v>
      </c>
      <c r="D138" s="3" t="n">
        <v>164.9</v>
      </c>
      <c r="E138" s="4">
        <f>LN(C138/C137)</f>
        <v/>
      </c>
      <c r="F138" s="4">
        <f>LN(D138/D137)</f>
        <v/>
      </c>
    </row>
    <row r="139">
      <c r="A139" t="n">
        <v>138</v>
      </c>
      <c r="B139" s="2" t="n">
        <v>45004</v>
      </c>
      <c r="C139" s="3" t="n">
        <v>3970.99</v>
      </c>
      <c r="D139" s="3" t="n">
        <v>160.25</v>
      </c>
      <c r="E139" s="4">
        <f>LN(C139/C138)</f>
        <v/>
      </c>
      <c r="F139" s="4">
        <f>LN(D139/D138)</f>
        <v/>
      </c>
    </row>
    <row r="140">
      <c r="A140" t="n">
        <v>139</v>
      </c>
      <c r="B140" s="2" t="n">
        <v>44997</v>
      </c>
      <c r="C140" s="3" t="n">
        <v>3916.64</v>
      </c>
      <c r="D140" s="3" t="n">
        <v>155</v>
      </c>
      <c r="E140" s="4">
        <f>LN(C140/C139)</f>
        <v/>
      </c>
      <c r="F140" s="4">
        <f>LN(D140/D139)</f>
        <v/>
      </c>
    </row>
    <row r="141">
      <c r="A141" t="n">
        <v>140</v>
      </c>
      <c r="B141" s="2" t="n">
        <v>44990</v>
      </c>
      <c r="C141" s="3" t="n">
        <v>3861.59</v>
      </c>
      <c r="D141" s="3" t="n">
        <v>148.5</v>
      </c>
      <c r="E141" s="4">
        <f>LN(C141/C140)</f>
        <v/>
      </c>
      <c r="F141" s="4">
        <f>LN(D141/D140)</f>
        <v/>
      </c>
    </row>
    <row r="142">
      <c r="A142" t="n">
        <v>141</v>
      </c>
      <c r="B142" s="2" t="n">
        <v>44983</v>
      </c>
      <c r="C142" s="3" t="n">
        <v>4045.64</v>
      </c>
      <c r="D142" s="3" t="n">
        <v>151.03</v>
      </c>
      <c r="E142" s="4">
        <f>LN(C142/C141)</f>
        <v/>
      </c>
      <c r="F142" s="4">
        <f>LN(D142/D141)</f>
        <v/>
      </c>
    </row>
    <row r="143">
      <c r="A143" t="n">
        <v>142</v>
      </c>
      <c r="B143" s="2" t="n">
        <v>44976</v>
      </c>
      <c r="C143" s="3" t="n">
        <v>3970.04</v>
      </c>
      <c r="D143" s="3" t="n">
        <v>146.71</v>
      </c>
      <c r="E143" s="4">
        <f>LN(C143/C142)</f>
        <v/>
      </c>
      <c r="F143" s="4">
        <f>LN(D143/D142)</f>
        <v/>
      </c>
    </row>
    <row r="144">
      <c r="A144" t="n">
        <v>143</v>
      </c>
      <c r="B144" s="2" t="n">
        <v>44969</v>
      </c>
      <c r="C144" s="3" t="n">
        <v>4079.09</v>
      </c>
      <c r="D144" s="3" t="n">
        <v>152.55</v>
      </c>
      <c r="E144" s="4">
        <f>LN(C144/C143)</f>
        <v/>
      </c>
      <c r="F144" s="4">
        <f>LN(D144/D143)</f>
        <v/>
      </c>
    </row>
    <row r="145">
      <c r="A145" t="n">
        <v>144</v>
      </c>
      <c r="B145" s="2" t="n">
        <v>44962</v>
      </c>
      <c r="C145" s="3" t="n">
        <v>4090.46</v>
      </c>
      <c r="D145" s="3" t="n">
        <v>151.01</v>
      </c>
      <c r="E145" s="4">
        <f>LN(C145/C144)</f>
        <v/>
      </c>
      <c r="F145" s="4">
        <f>LN(D145/D144)</f>
        <v/>
      </c>
    </row>
    <row r="146">
      <c r="A146" t="n">
        <v>145</v>
      </c>
      <c r="B146" s="2" t="n">
        <v>44955</v>
      </c>
      <c r="C146" s="3" t="n">
        <v>4136.48</v>
      </c>
      <c r="D146" s="3" t="n">
        <v>154.5</v>
      </c>
      <c r="E146" s="4">
        <f>LN(C146/C145)</f>
        <v/>
      </c>
      <c r="F146" s="4">
        <f>LN(D146/D145)</f>
        <v/>
      </c>
    </row>
    <row r="147">
      <c r="A147" t="n">
        <v>146</v>
      </c>
      <c r="B147" s="2" t="n">
        <v>44948</v>
      </c>
      <c r="C147" s="3" t="n">
        <v>4070.56</v>
      </c>
      <c r="D147" s="3" t="n">
        <v>145.93</v>
      </c>
      <c r="E147" s="4">
        <f>LN(C147/C146)</f>
        <v/>
      </c>
      <c r="F147" s="4">
        <f>LN(D147/D146)</f>
        <v/>
      </c>
    </row>
    <row r="148">
      <c r="A148" t="n">
        <v>147</v>
      </c>
      <c r="B148" s="2" t="n">
        <v>44941</v>
      </c>
      <c r="C148" s="3" t="n">
        <v>3972.61</v>
      </c>
      <c r="D148" s="3" t="n">
        <v>137.87</v>
      </c>
      <c r="E148" s="4">
        <f>LN(C148/C147)</f>
        <v/>
      </c>
      <c r="F148" s="4">
        <f>LN(D148/D147)</f>
        <v/>
      </c>
    </row>
    <row r="149">
      <c r="A149" t="n">
        <v>148</v>
      </c>
      <c r="B149" s="2" t="n">
        <v>44934</v>
      </c>
      <c r="C149" s="3" t="n">
        <v>3999.09</v>
      </c>
      <c r="D149" s="3" t="n">
        <v>134.76</v>
      </c>
      <c r="E149" s="4">
        <f>LN(C149/C148)</f>
        <v/>
      </c>
      <c r="F149" s="4">
        <f>LN(D149/D148)</f>
        <v/>
      </c>
    </row>
    <row r="150">
      <c r="A150" t="n">
        <v>149</v>
      </c>
      <c r="B150" s="2" t="n">
        <v>44927</v>
      </c>
      <c r="C150" s="3" t="n">
        <v>3895.08</v>
      </c>
      <c r="D150" s="3" t="n">
        <v>129.62</v>
      </c>
      <c r="E150" s="4">
        <f>LN(C150/C149)</f>
        <v/>
      </c>
      <c r="F150" s="4">
        <f>LN(D150/D149)</f>
        <v/>
      </c>
    </row>
    <row r="151">
      <c r="A151" t="n">
        <v>150</v>
      </c>
      <c r="B151" s="2" t="n">
        <v>44920</v>
      </c>
      <c r="C151" s="3" t="n">
        <v>3839.5</v>
      </c>
      <c r="D151" s="3" t="n">
        <v>129.93</v>
      </c>
      <c r="E151" s="4">
        <f>LN(C151/C150)</f>
        <v/>
      </c>
      <c r="F151" s="4">
        <f>LN(D151/D150)</f>
        <v/>
      </c>
    </row>
    <row r="152">
      <c r="A152" t="n">
        <v>151</v>
      </c>
      <c r="B152" s="2" t="n">
        <v>44913</v>
      </c>
      <c r="C152" s="3" t="n">
        <v>3844.82</v>
      </c>
      <c r="D152" s="3" t="n">
        <v>131.86</v>
      </c>
      <c r="E152" s="4">
        <f>LN(C152/C151)</f>
        <v/>
      </c>
      <c r="F152" s="4">
        <f>LN(D152/D151)</f>
        <v/>
      </c>
    </row>
    <row r="153">
      <c r="A153" t="n">
        <v>152</v>
      </c>
      <c r="B153" s="2" t="n">
        <v>44906</v>
      </c>
      <c r="C153" s="3" t="n">
        <v>3852.36</v>
      </c>
      <c r="D153" s="3" t="n">
        <v>134.51</v>
      </c>
      <c r="E153" s="4">
        <f>LN(C153/C152)</f>
        <v/>
      </c>
      <c r="F153" s="4">
        <f>LN(D153/D152)</f>
        <v/>
      </c>
    </row>
    <row r="154">
      <c r="A154" t="n">
        <v>153</v>
      </c>
      <c r="B154" s="2" t="n">
        <v>44899</v>
      </c>
      <c r="C154" s="3" t="n">
        <v>3934.38</v>
      </c>
      <c r="D154" s="3" t="n">
        <v>142.16</v>
      </c>
      <c r="E154" s="4">
        <f>LN(C154/C153)</f>
        <v/>
      </c>
      <c r="F154" s="4">
        <f>LN(D154/D153)</f>
        <v/>
      </c>
    </row>
    <row r="155">
      <c r="A155" t="n">
        <v>154</v>
      </c>
      <c r="B155" s="2" t="n">
        <v>44892</v>
      </c>
      <c r="C155" s="3" t="n">
        <v>4071.7</v>
      </c>
      <c r="D155" s="3" t="n">
        <v>147.81</v>
      </c>
      <c r="E155" s="4">
        <f>LN(C155/C154)</f>
        <v/>
      </c>
      <c r="F155" s="4">
        <f>LN(D155/D154)</f>
        <v/>
      </c>
    </row>
    <row r="156">
      <c r="A156" t="n">
        <v>155</v>
      </c>
      <c r="B156" s="2" t="n">
        <v>44885</v>
      </c>
      <c r="C156" s="3" t="n">
        <v>4026.12</v>
      </c>
      <c r="D156" s="3" t="n">
        <v>148.11</v>
      </c>
      <c r="E156" s="4">
        <f>LN(C156/C155)</f>
        <v/>
      </c>
      <c r="F156" s="4">
        <f>LN(D156/D155)</f>
        <v/>
      </c>
    </row>
    <row r="157">
      <c r="A157" t="n">
        <v>156</v>
      </c>
      <c r="B157" s="2" t="n">
        <v>44878</v>
      </c>
      <c r="C157" s="3" t="n">
        <v>3965.34</v>
      </c>
      <c r="D157" s="3" t="n">
        <v>151.29</v>
      </c>
      <c r="E157" s="4">
        <f>LN(C157/C156)</f>
        <v/>
      </c>
      <c r="F157" s="4">
        <f>LN(D157/D156)</f>
        <v/>
      </c>
    </row>
    <row r="158">
      <c r="A158" t="n">
        <v>157</v>
      </c>
      <c r="B158" s="2" t="n">
        <v>44871</v>
      </c>
      <c r="C158" s="3" t="n">
        <v>3992.93</v>
      </c>
      <c r="D158" s="3" t="n">
        <v>149.7</v>
      </c>
      <c r="E158" s="4">
        <f>LN(C158/C157)</f>
        <v/>
      </c>
      <c r="F158" s="4">
        <f>LN(D158/D157)</f>
        <v/>
      </c>
    </row>
    <row r="159">
      <c r="A159" t="n">
        <v>158</v>
      </c>
      <c r="B159" s="2" t="n">
        <v>44864</v>
      </c>
      <c r="C159" s="3" t="n">
        <v>3770.55</v>
      </c>
      <c r="D159" s="3" t="n">
        <v>138.38</v>
      </c>
      <c r="E159" s="4">
        <f>LN(C159/C158)</f>
        <v/>
      </c>
      <c r="F159" s="4">
        <f>LN(D159/D158)</f>
        <v/>
      </c>
    </row>
    <row r="160">
      <c r="A160" t="n">
        <v>159</v>
      </c>
      <c r="B160" s="2" t="n">
        <v>44857</v>
      </c>
      <c r="C160" s="3" t="n">
        <v>3901.06</v>
      </c>
      <c r="D160" s="3" t="n">
        <v>155.74</v>
      </c>
      <c r="E160" s="4">
        <f>LN(C160/C159)</f>
        <v/>
      </c>
      <c r="F160" s="4">
        <f>LN(D160/D159)</f>
        <v/>
      </c>
    </row>
    <row r="161">
      <c r="A161" t="n">
        <v>160</v>
      </c>
      <c r="B161" s="2" t="n">
        <v>44850</v>
      </c>
      <c r="C161" s="3" t="n">
        <v>3752.75</v>
      </c>
      <c r="D161" s="3" t="n">
        <v>147.27</v>
      </c>
      <c r="E161" s="4">
        <f>LN(C161/C160)</f>
        <v/>
      </c>
      <c r="F161" s="4">
        <f>LN(D161/D160)</f>
        <v/>
      </c>
    </row>
    <row r="162">
      <c r="A162" t="n">
        <v>161</v>
      </c>
      <c r="B162" s="2" t="n">
        <v>44843</v>
      </c>
      <c r="C162" s="3" t="n">
        <v>3583.07</v>
      </c>
      <c r="D162" s="3" t="n">
        <v>138.38</v>
      </c>
      <c r="E162" s="4">
        <f>LN(C162/C161)</f>
        <v/>
      </c>
      <c r="F162" s="4">
        <f>LN(D162/D161)</f>
        <v/>
      </c>
    </row>
    <row r="163">
      <c r="A163" t="n">
        <v>162</v>
      </c>
      <c r="B163" s="2" t="n">
        <v>44836</v>
      </c>
      <c r="C163" s="3" t="n">
        <v>3639.66</v>
      </c>
      <c r="D163" s="3" t="n">
        <v>140.09</v>
      </c>
      <c r="E163" s="4">
        <f>LN(C163/C162)</f>
        <v/>
      </c>
      <c r="F163" s="4">
        <f>LN(D163/D162)</f>
        <v/>
      </c>
    </row>
    <row r="164">
      <c r="A164" t="n">
        <v>163</v>
      </c>
      <c r="B164" s="2" t="n">
        <v>44829</v>
      </c>
      <c r="C164" s="3" t="n">
        <v>3585.62</v>
      </c>
      <c r="D164" s="3" t="n">
        <v>138.2</v>
      </c>
      <c r="E164" s="4">
        <f>LN(C164/C163)</f>
        <v/>
      </c>
      <c r="F164" s="4">
        <f>LN(D164/D163)</f>
        <v/>
      </c>
    </row>
    <row r="165">
      <c r="A165" t="n">
        <v>164</v>
      </c>
      <c r="B165" s="2" t="n">
        <v>44822</v>
      </c>
      <c r="C165" s="3" t="n">
        <v>3693.23</v>
      </c>
      <c r="D165" s="3" t="n">
        <v>150.43</v>
      </c>
      <c r="E165" s="4">
        <f>LN(C165/C164)</f>
        <v/>
      </c>
      <c r="F165" s="4">
        <f>LN(D165/D164)</f>
        <v/>
      </c>
    </row>
    <row r="166">
      <c r="A166" t="n">
        <v>165</v>
      </c>
      <c r="B166" s="2" t="n">
        <v>44815</v>
      </c>
      <c r="C166" s="3" t="n">
        <v>3873.33</v>
      </c>
      <c r="D166" s="3" t="n">
        <v>150.7</v>
      </c>
      <c r="E166" s="4">
        <f>LN(C166/C165)</f>
        <v/>
      </c>
      <c r="F166" s="4">
        <f>LN(D166/D165)</f>
        <v/>
      </c>
    </row>
    <row r="167">
      <c r="A167" t="n">
        <v>166</v>
      </c>
      <c r="B167" s="2" t="n">
        <v>44808</v>
      </c>
      <c r="C167" s="3" t="n">
        <v>4067.36</v>
      </c>
      <c r="D167" s="3" t="n">
        <v>157.37</v>
      </c>
      <c r="E167" s="4">
        <f>LN(C167/C166)</f>
        <v/>
      </c>
      <c r="F167" s="4">
        <f>LN(D167/D166)</f>
        <v/>
      </c>
    </row>
    <row r="168">
      <c r="A168" t="n">
        <v>167</v>
      </c>
      <c r="B168" s="2" t="n">
        <v>44801</v>
      </c>
      <c r="C168" s="3" t="n">
        <v>3924.26</v>
      </c>
      <c r="D168" s="3" t="n">
        <v>155.81</v>
      </c>
      <c r="E168" s="4">
        <f>LN(C168/C167)</f>
        <v/>
      </c>
      <c r="F168" s="4">
        <f>LN(D168/D167)</f>
        <v/>
      </c>
    </row>
    <row r="169">
      <c r="A169" t="n">
        <v>168</v>
      </c>
      <c r="B169" s="2" t="n">
        <v>44794</v>
      </c>
      <c r="C169" s="3" t="n">
        <v>4057.66</v>
      </c>
      <c r="D169" s="3" t="n">
        <v>163.62</v>
      </c>
      <c r="E169" s="4">
        <f>LN(C169/C168)</f>
        <v/>
      </c>
      <c r="F169" s="4">
        <f>LN(D169/D168)</f>
        <v/>
      </c>
    </row>
    <row r="170">
      <c r="A170" t="n">
        <v>169</v>
      </c>
      <c r="B170" s="2" t="n">
        <v>44787</v>
      </c>
      <c r="C170" s="3" t="n">
        <v>4228.48</v>
      </c>
      <c r="D170" s="3" t="n">
        <v>171.52</v>
      </c>
      <c r="E170" s="4">
        <f>LN(C170/C169)</f>
        <v/>
      </c>
      <c r="F170" s="4">
        <f>LN(D170/D169)</f>
        <v/>
      </c>
    </row>
    <row r="171">
      <c r="A171" t="n">
        <v>170</v>
      </c>
      <c r="B171" s="2" t="n">
        <v>44780</v>
      </c>
      <c r="C171" s="3" t="n">
        <v>4280.15</v>
      </c>
      <c r="D171" s="3" t="n">
        <v>172.1</v>
      </c>
      <c r="E171" s="4">
        <f>LN(C171/C170)</f>
        <v/>
      </c>
      <c r="F171" s="4">
        <f>LN(D171/D170)</f>
        <v/>
      </c>
    </row>
    <row r="172">
      <c r="A172" t="n">
        <v>171</v>
      </c>
      <c r="B172" s="2" t="n">
        <v>44773</v>
      </c>
      <c r="C172" s="3" t="n">
        <v>4145.19</v>
      </c>
      <c r="D172" s="3" t="n">
        <v>165.35</v>
      </c>
      <c r="E172" s="4">
        <f>LN(C172/C171)</f>
        <v/>
      </c>
      <c r="F172" s="4">
        <f>LN(D172/D171)</f>
        <v/>
      </c>
    </row>
    <row r="173">
      <c r="A173" t="n">
        <v>172</v>
      </c>
      <c r="B173" s="2" t="n">
        <v>44766</v>
      </c>
      <c r="C173" s="3" t="n">
        <v>4130.29</v>
      </c>
      <c r="D173" s="3" t="n">
        <v>162.51</v>
      </c>
      <c r="E173" s="4">
        <f>LN(C173/C172)</f>
        <v/>
      </c>
      <c r="F173" s="4">
        <f>LN(D173/D172)</f>
        <v/>
      </c>
    </row>
    <row r="174">
      <c r="A174" t="n">
        <v>173</v>
      </c>
      <c r="B174" s="2" t="n">
        <v>44759</v>
      </c>
      <c r="C174" s="3" t="n">
        <v>3961.63</v>
      </c>
      <c r="D174" s="3" t="n">
        <v>154.09</v>
      </c>
      <c r="E174" s="4">
        <f>LN(C174/C173)</f>
        <v/>
      </c>
      <c r="F174" s="4">
        <f>LN(D174/D173)</f>
        <v/>
      </c>
    </row>
    <row r="175">
      <c r="A175" t="n">
        <v>174</v>
      </c>
      <c r="B175" s="2" t="n">
        <v>44752</v>
      </c>
      <c r="C175" s="3" t="n">
        <v>3863.16</v>
      </c>
      <c r="D175" s="3" t="n">
        <v>150.17</v>
      </c>
      <c r="E175" s="4">
        <f>LN(C175/C174)</f>
        <v/>
      </c>
      <c r="F175" s="4">
        <f>LN(D175/D174)</f>
        <v/>
      </c>
    </row>
    <row r="176">
      <c r="A176" t="n">
        <v>175</v>
      </c>
      <c r="B176" s="2" t="n">
        <v>44745</v>
      </c>
      <c r="C176" s="3" t="n">
        <v>3899.38</v>
      </c>
      <c r="D176" s="3" t="n">
        <v>147.04</v>
      </c>
      <c r="E176" s="4">
        <f>LN(C176/C175)</f>
        <v/>
      </c>
      <c r="F176" s="4">
        <f>LN(D176/D175)</f>
        <v/>
      </c>
    </row>
    <row r="177">
      <c r="A177" t="n">
        <v>176</v>
      </c>
      <c r="B177" s="2" t="n">
        <v>44738</v>
      </c>
      <c r="C177" s="3" t="n">
        <v>3825.33</v>
      </c>
      <c r="D177" s="3" t="n">
        <v>138.93</v>
      </c>
      <c r="E177" s="4">
        <f>LN(C177/C176)</f>
        <v/>
      </c>
      <c r="F177" s="4">
        <f>LN(D177/D176)</f>
        <v/>
      </c>
    </row>
    <row r="178">
      <c r="A178" t="n">
        <v>177</v>
      </c>
      <c r="B178" s="2" t="n">
        <v>44731</v>
      </c>
      <c r="C178" s="3" t="n">
        <v>3911.74</v>
      </c>
      <c r="D178" s="3" t="n">
        <v>141.66</v>
      </c>
      <c r="E178" s="4">
        <f>LN(C178/C177)</f>
        <v/>
      </c>
      <c r="F178" s="4">
        <f>LN(D178/D177)</f>
        <v/>
      </c>
    </row>
    <row r="179">
      <c r="A179" t="n">
        <v>178</v>
      </c>
      <c r="B179" s="2" t="n">
        <v>44724</v>
      </c>
      <c r="C179" s="3" t="n">
        <v>3674.84</v>
      </c>
      <c r="D179" s="3" t="n">
        <v>131.56</v>
      </c>
      <c r="E179" s="4">
        <f>LN(C179/C178)</f>
        <v/>
      </c>
      <c r="F179" s="4">
        <f>LN(D179/D178)</f>
        <v/>
      </c>
    </row>
    <row r="180">
      <c r="A180" t="n">
        <v>179</v>
      </c>
      <c r="B180" s="2" t="n">
        <v>44717</v>
      </c>
      <c r="C180" s="3" t="n">
        <v>3900.86</v>
      </c>
      <c r="D180" s="3" t="n">
        <v>137.13</v>
      </c>
      <c r="E180" s="4">
        <f>LN(C180/C179)</f>
        <v/>
      </c>
      <c r="F180" s="4">
        <f>LN(D180/D179)</f>
        <v/>
      </c>
    </row>
    <row r="181">
      <c r="A181" t="n">
        <v>180</v>
      </c>
      <c r="B181" s="2" t="n">
        <v>44710</v>
      </c>
      <c r="C181" s="3" t="n">
        <v>4108.54</v>
      </c>
      <c r="D181" s="3" t="n">
        <v>145.38</v>
      </c>
      <c r="E181" s="4">
        <f>LN(C181/C180)</f>
        <v/>
      </c>
      <c r="F181" s="4">
        <f>LN(D181/D180)</f>
        <v/>
      </c>
    </row>
    <row r="182">
      <c r="A182" t="n">
        <v>181</v>
      </c>
      <c r="B182" s="2" t="n">
        <v>44703</v>
      </c>
      <c r="C182" s="3" t="n">
        <v>4158.24</v>
      </c>
      <c r="D182" s="3" t="n">
        <v>149.64</v>
      </c>
      <c r="E182" s="4">
        <f>LN(C182/C181)</f>
        <v/>
      </c>
      <c r="F182" s="4">
        <f>LN(D182/D181)</f>
        <v/>
      </c>
    </row>
    <row r="183">
      <c r="A183" t="n">
        <v>182</v>
      </c>
      <c r="B183" s="2" t="n">
        <v>44696</v>
      </c>
      <c r="C183" s="3" t="n">
        <v>3901.36</v>
      </c>
      <c r="D183" s="3" t="n">
        <v>137.59</v>
      </c>
      <c r="E183" s="4">
        <f>LN(C183/C182)</f>
        <v/>
      </c>
      <c r="F183" s="4">
        <f>LN(D183/D182)</f>
        <v/>
      </c>
    </row>
    <row r="184">
      <c r="A184" t="n">
        <v>183</v>
      </c>
      <c r="B184" s="2" t="n">
        <v>44689</v>
      </c>
      <c r="C184" s="3" t="n">
        <v>4023.89</v>
      </c>
      <c r="D184" s="3" t="n">
        <v>147.11</v>
      </c>
      <c r="E184" s="4">
        <f>LN(C184/C183)</f>
        <v/>
      </c>
      <c r="F184" s="4">
        <f>LN(D184/D183)</f>
        <v/>
      </c>
    </row>
    <row r="185">
      <c r="A185" t="n">
        <v>184</v>
      </c>
      <c r="B185" s="2" t="n">
        <v>44682</v>
      </c>
      <c r="C185" s="3" t="n">
        <v>4123.34</v>
      </c>
      <c r="D185" s="3" t="n">
        <v>157.28</v>
      </c>
      <c r="E185" s="4">
        <f>LN(C185/C184)</f>
        <v/>
      </c>
      <c r="F185" s="4">
        <f>LN(D185/D184)</f>
        <v/>
      </c>
    </row>
    <row r="186">
      <c r="A186" t="n">
        <v>185</v>
      </c>
      <c r="B186" s="2" t="n">
        <v>44675</v>
      </c>
      <c r="C186" s="3" t="n">
        <v>4131.93</v>
      </c>
      <c r="D186" s="3" t="n">
        <v>157.65</v>
      </c>
      <c r="E186" s="4">
        <f>LN(C186/C185)</f>
        <v/>
      </c>
      <c r="F186" s="4">
        <f>LN(D186/D185)</f>
        <v/>
      </c>
    </row>
    <row r="187">
      <c r="A187" t="n">
        <v>186</v>
      </c>
      <c r="B187" s="2" t="n">
        <v>44668</v>
      </c>
      <c r="C187" s="3" t="n">
        <v>4271.78</v>
      </c>
      <c r="D187" s="3" t="n">
        <v>161.79</v>
      </c>
      <c r="E187" s="4">
        <f>LN(C187/C186)</f>
        <v/>
      </c>
      <c r="F187" s="4">
        <f>LN(D187/D186)</f>
        <v/>
      </c>
    </row>
    <row r="188">
      <c r="A188" t="n">
        <v>187</v>
      </c>
      <c r="B188" s="2" t="n">
        <v>44661</v>
      </c>
      <c r="C188" s="3" t="n">
        <v>4392.59</v>
      </c>
      <c r="D188" s="3" t="n">
        <v>165.29</v>
      </c>
      <c r="E188" s="4">
        <f>LN(C188/C187)</f>
        <v/>
      </c>
      <c r="F188" s="4">
        <f>LN(D188/D187)</f>
        <v/>
      </c>
    </row>
    <row r="189">
      <c r="A189" t="n">
        <v>188</v>
      </c>
      <c r="B189" s="2" t="n">
        <v>44654</v>
      </c>
      <c r="C189" s="3" t="n">
        <v>4488.28</v>
      </c>
      <c r="D189" s="3" t="n">
        <v>170.09</v>
      </c>
      <c r="E189" s="4">
        <f>LN(C189/C188)</f>
        <v/>
      </c>
      <c r="F189" s="4">
        <f>LN(D189/D188)</f>
        <v/>
      </c>
    </row>
    <row r="190">
      <c r="A190" t="n">
        <v>189</v>
      </c>
      <c r="B190" s="2" t="n">
        <v>44647</v>
      </c>
      <c r="C190" s="3" t="n">
        <v>4545.86</v>
      </c>
      <c r="D190" s="3" t="n">
        <v>174.31</v>
      </c>
      <c r="E190" s="4">
        <f>LN(C190/C189)</f>
        <v/>
      </c>
      <c r="F190" s="4">
        <f>LN(D190/D189)</f>
        <v/>
      </c>
    </row>
    <row r="191">
      <c r="A191" t="n">
        <v>190</v>
      </c>
      <c r="B191" s="2" t="n">
        <v>44640</v>
      </c>
      <c r="C191" s="3" t="n">
        <v>4543.06</v>
      </c>
      <c r="D191" s="3" t="n">
        <v>174.72</v>
      </c>
      <c r="E191" s="4">
        <f>LN(C191/C190)</f>
        <v/>
      </c>
      <c r="F191" s="4">
        <f>LN(D191/D190)</f>
        <v/>
      </c>
    </row>
    <row r="192">
      <c r="A192" t="n">
        <v>191</v>
      </c>
      <c r="B192" s="2" t="n">
        <v>44633</v>
      </c>
      <c r="C192" s="3" t="n">
        <v>4463.12</v>
      </c>
      <c r="D192" s="3" t="n">
        <v>163.98</v>
      </c>
      <c r="E192" s="4">
        <f>LN(C192/C191)</f>
        <v/>
      </c>
      <c r="F192" s="4">
        <f>LN(D192/D191)</f>
        <v/>
      </c>
    </row>
    <row r="193">
      <c r="A193" t="n">
        <v>192</v>
      </c>
      <c r="B193" s="2" t="n">
        <v>44626</v>
      </c>
      <c r="C193" s="3" t="n">
        <v>4204.31</v>
      </c>
      <c r="D193" s="3" t="n">
        <v>154.73</v>
      </c>
      <c r="E193" s="4">
        <f>LN(C193/C192)</f>
        <v/>
      </c>
      <c r="F193" s="4">
        <f>LN(D193/D192)</f>
        <v/>
      </c>
    </row>
    <row r="194">
      <c r="A194" t="n">
        <v>193</v>
      </c>
      <c r="B194" s="2" t="n">
        <v>44619</v>
      </c>
      <c r="C194" s="3" t="n">
        <v>4328.87</v>
      </c>
      <c r="D194" s="3" t="n">
        <v>163.17</v>
      </c>
      <c r="E194" s="4">
        <f>LN(C194/C193)</f>
        <v/>
      </c>
      <c r="F194" s="4">
        <f>LN(D194/D193)</f>
        <v/>
      </c>
    </row>
    <row r="195">
      <c r="A195" t="n">
        <v>194</v>
      </c>
      <c r="B195" s="2" t="n">
        <v>44612</v>
      </c>
      <c r="C195" s="3" t="n">
        <v>4384.65</v>
      </c>
      <c r="D195" s="3" t="n">
        <v>164.85</v>
      </c>
      <c r="E195" s="4">
        <f>LN(C195/C194)</f>
        <v/>
      </c>
      <c r="F195" s="4">
        <f>LN(D195/D194)</f>
        <v/>
      </c>
    </row>
    <row r="196">
      <c r="A196" t="n">
        <v>195</v>
      </c>
      <c r="B196" s="2" t="n">
        <v>44605</v>
      </c>
      <c r="C196" s="3" t="n">
        <v>4348.87</v>
      </c>
      <c r="D196" s="3" t="n">
        <v>167.3</v>
      </c>
      <c r="E196" s="4">
        <f>LN(C196/C195)</f>
        <v/>
      </c>
      <c r="F196" s="4">
        <f>LN(D196/D195)</f>
        <v/>
      </c>
    </row>
    <row r="197">
      <c r="A197" t="n">
        <v>196</v>
      </c>
      <c r="B197" s="2" t="n">
        <v>44598</v>
      </c>
      <c r="C197" s="3" t="n">
        <v>4418.64</v>
      </c>
      <c r="D197" s="3" t="n">
        <v>168.64</v>
      </c>
      <c r="E197" s="4">
        <f>LN(C197/C196)</f>
        <v/>
      </c>
      <c r="F197" s="4">
        <f>LN(D197/D196)</f>
        <v/>
      </c>
    </row>
    <row r="198">
      <c r="A198" t="n">
        <v>197</v>
      </c>
      <c r="B198" s="2" t="n">
        <v>44591</v>
      </c>
      <c r="C198" s="3" t="n">
        <v>4500.53</v>
      </c>
      <c r="D198" s="3" t="n">
        <v>172.39</v>
      </c>
      <c r="E198" s="4">
        <f>LN(C198/C197)</f>
        <v/>
      </c>
      <c r="F198" s="4">
        <f>LN(D198/D197)</f>
        <v/>
      </c>
    </row>
    <row r="199">
      <c r="A199" t="n">
        <v>198</v>
      </c>
      <c r="B199" s="2" t="n">
        <v>44584</v>
      </c>
      <c r="C199" s="3" t="n">
        <v>4431.85</v>
      </c>
      <c r="D199" s="3" t="n">
        <v>170.33</v>
      </c>
      <c r="E199" s="4">
        <f>LN(C199/C198)</f>
        <v/>
      </c>
      <c r="F199" s="4">
        <f>LN(D199/D198)</f>
        <v/>
      </c>
    </row>
    <row r="200">
      <c r="A200" t="n">
        <v>199</v>
      </c>
      <c r="B200" s="2" t="n">
        <v>44577</v>
      </c>
      <c r="C200" s="3" t="n">
        <v>4397.94</v>
      </c>
      <c r="D200" s="3" t="n">
        <v>162.41</v>
      </c>
      <c r="E200" s="4">
        <f>LN(C200/C199)</f>
        <v/>
      </c>
      <c r="F200" s="4">
        <f>LN(D200/D199)</f>
        <v/>
      </c>
    </row>
    <row r="201">
      <c r="A201" t="n">
        <v>200</v>
      </c>
      <c r="B201" s="2" t="n">
        <v>44570</v>
      </c>
      <c r="C201" s="3" t="n">
        <v>4662.85</v>
      </c>
      <c r="D201" s="3" t="n">
        <v>173.07</v>
      </c>
      <c r="E201" s="4">
        <f>LN(C201/C200)</f>
        <v/>
      </c>
      <c r="F201" s="4">
        <f>LN(D201/D200)</f>
        <v/>
      </c>
    </row>
    <row r="202">
      <c r="A202" t="n">
        <v>201</v>
      </c>
      <c r="B202" s="2" t="n">
        <v>44563</v>
      </c>
      <c r="C202" s="3" t="n">
        <v>4677.03</v>
      </c>
      <c r="D202" s="3" t="n">
        <v>172.17</v>
      </c>
      <c r="E202" s="4">
        <f>LN(C202/C201)</f>
        <v/>
      </c>
      <c r="F202" s="4">
        <f>LN(D202/D201)</f>
        <v/>
      </c>
    </row>
    <row r="203">
      <c r="A203" t="n">
        <v>202</v>
      </c>
      <c r="B203" s="2" t="n">
        <v>44556</v>
      </c>
      <c r="C203" s="3" t="n">
        <v>4766.18</v>
      </c>
      <c r="D203" s="3" t="n">
        <v>177.57</v>
      </c>
      <c r="E203" s="4">
        <f>LN(C203/C202)</f>
        <v/>
      </c>
      <c r="F203" s="4">
        <f>LN(D203/D202)</f>
        <v/>
      </c>
    </row>
    <row r="204">
      <c r="A204" t="n">
        <v>203</v>
      </c>
      <c r="B204" s="2" t="n">
        <v>44549</v>
      </c>
      <c r="C204" s="3" t="n">
        <v>4725.79</v>
      </c>
      <c r="D204" s="3" t="n">
        <v>176.28</v>
      </c>
      <c r="E204" s="4">
        <f>LN(C204/C203)</f>
        <v/>
      </c>
      <c r="F204" s="4">
        <f>LN(D204/D203)</f>
        <v/>
      </c>
    </row>
    <row r="205">
      <c r="A205" t="n">
        <v>204</v>
      </c>
      <c r="B205" s="2" t="n">
        <v>44542</v>
      </c>
      <c r="C205" s="3" t="n">
        <v>4620.64</v>
      </c>
      <c r="D205" s="3" t="n">
        <v>171.14</v>
      </c>
      <c r="E205" s="4">
        <f>LN(C205/C204)</f>
        <v/>
      </c>
      <c r="F205" s="4">
        <f>LN(D205/D204)</f>
        <v/>
      </c>
    </row>
    <row r="206">
      <c r="A206" t="n">
        <v>205</v>
      </c>
      <c r="B206" s="2" t="n">
        <v>44535</v>
      </c>
      <c r="C206" s="3" t="n">
        <v>4712.02</v>
      </c>
      <c r="D206" s="3" t="n">
        <v>179.45</v>
      </c>
      <c r="E206" s="4">
        <f>LN(C206/C205)</f>
        <v/>
      </c>
      <c r="F206" s="4">
        <f>LN(D206/D205)</f>
        <v/>
      </c>
    </row>
    <row r="207">
      <c r="A207" t="n">
        <v>206</v>
      </c>
      <c r="B207" s="2" t="n">
        <v>44528</v>
      </c>
      <c r="C207" s="3" t="n">
        <v>4538.43</v>
      </c>
      <c r="D207" s="3" t="n">
        <v>161.84</v>
      </c>
      <c r="E207" s="4">
        <f>LN(C207/C206)</f>
        <v/>
      </c>
      <c r="F207" s="4">
        <f>LN(D207/D206)</f>
        <v/>
      </c>
    </row>
    <row r="208">
      <c r="A208" t="n">
        <v>207</v>
      </c>
      <c r="B208" s="2" t="n">
        <v>44521</v>
      </c>
      <c r="C208" s="3" t="n">
        <v>4594.62</v>
      </c>
      <c r="D208" s="3" t="n">
        <v>156.81</v>
      </c>
      <c r="E208" s="4">
        <f>LN(C208/C207)</f>
        <v/>
      </c>
      <c r="F208" s="4">
        <f>LN(D208/D207)</f>
        <v/>
      </c>
    </row>
    <row r="209">
      <c r="A209" t="n">
        <v>208</v>
      </c>
      <c r="B209" s="2" t="n">
        <v>44514</v>
      </c>
      <c r="C209" s="3" t="n">
        <v>4697.96</v>
      </c>
      <c r="D209" s="3" t="n">
        <v>160.55</v>
      </c>
      <c r="E209" s="4">
        <f>LN(C209/C208)</f>
        <v/>
      </c>
      <c r="F209" s="4">
        <f>LN(D209/D208)</f>
        <v/>
      </c>
    </row>
    <row r="210">
      <c r="A210" t="n">
        <v>209</v>
      </c>
      <c r="B210" s="2" t="n">
        <v>44507</v>
      </c>
      <c r="C210" s="3" t="n">
        <v>4682.85</v>
      </c>
      <c r="D210" s="3" t="n">
        <v>149.99</v>
      </c>
      <c r="E210" s="4">
        <f>LN(C210/C209)</f>
        <v/>
      </c>
      <c r="F210" s="4">
        <f>LN(D210/D209)</f>
        <v/>
      </c>
    </row>
    <row r="211">
      <c r="A211" t="n">
        <v>210</v>
      </c>
      <c r="B211" s="2" t="n">
        <v>44500</v>
      </c>
      <c r="C211" s="3" t="n">
        <v>4697.53</v>
      </c>
      <c r="D211" s="3" t="n">
        <v>151.28</v>
      </c>
      <c r="E211" s="4">
        <f>LN(C211/C210)</f>
        <v/>
      </c>
      <c r="F211" s="4">
        <f>LN(D211/D210)</f>
        <v/>
      </c>
    </row>
    <row r="212">
      <c r="A212" t="n">
        <v>211</v>
      </c>
      <c r="B212" s="2" t="n">
        <v>44493</v>
      </c>
      <c r="C212" s="3" t="n">
        <v>4605.38</v>
      </c>
      <c r="D212" s="3" t="n">
        <v>149.8</v>
      </c>
      <c r="E212" s="4">
        <f>LN(C212/C211)</f>
        <v/>
      </c>
      <c r="F212" s="4">
        <f>LN(D212/D211)</f>
        <v/>
      </c>
    </row>
    <row r="213">
      <c r="A213" t="n">
        <v>212</v>
      </c>
      <c r="B213" s="2" t="n">
        <v>44486</v>
      </c>
      <c r="C213" s="3" t="n">
        <v>4544.9</v>
      </c>
      <c r="D213" s="3" t="n">
        <v>148.69</v>
      </c>
      <c r="E213" s="4">
        <f>LN(C213/C212)</f>
        <v/>
      </c>
      <c r="F213" s="4">
        <f>LN(D213/D212)</f>
        <v/>
      </c>
    </row>
    <row r="214">
      <c r="A214" t="n">
        <v>213</v>
      </c>
      <c r="B214" s="2" t="n">
        <v>44479</v>
      </c>
      <c r="C214" s="3" t="n">
        <v>4471.37</v>
      </c>
      <c r="D214" s="3" t="n">
        <v>144.84</v>
      </c>
      <c r="E214" s="4">
        <f>LN(C214/C213)</f>
        <v/>
      </c>
      <c r="F214" s="4">
        <f>LN(D214/D213)</f>
        <v/>
      </c>
    </row>
    <row r="215">
      <c r="A215" t="n">
        <v>214</v>
      </c>
      <c r="B215" s="2" t="n">
        <v>44472</v>
      </c>
      <c r="C215" s="3" t="n">
        <v>4391.34</v>
      </c>
      <c r="D215" s="3" t="n">
        <v>142.9</v>
      </c>
      <c r="E215" s="4">
        <f>LN(C215/C214)</f>
        <v/>
      </c>
      <c r="F215" s="4">
        <f>LN(D215/D214)</f>
        <v/>
      </c>
    </row>
    <row r="216">
      <c r="A216" t="n">
        <v>215</v>
      </c>
      <c r="B216" s="2" t="n">
        <v>44465</v>
      </c>
      <c r="C216" s="3" t="n">
        <v>4357.04</v>
      </c>
      <c r="D216" s="3" t="n">
        <v>142.65</v>
      </c>
      <c r="E216" s="4">
        <f>LN(C216/C215)</f>
        <v/>
      </c>
      <c r="F216" s="4">
        <f>LN(D216/D215)</f>
        <v/>
      </c>
    </row>
    <row r="217">
      <c r="A217" t="n">
        <v>216</v>
      </c>
      <c r="B217" s="2" t="n">
        <v>44458</v>
      </c>
      <c r="C217" s="3" t="n">
        <v>4455.48</v>
      </c>
      <c r="D217" s="3" t="n">
        <v>146.92</v>
      </c>
      <c r="E217" s="4">
        <f>LN(C217/C216)</f>
        <v/>
      </c>
      <c r="F217" s="4">
        <f>LN(D217/D216)</f>
        <v/>
      </c>
    </row>
    <row r="218">
      <c r="A218" t="n">
        <v>217</v>
      </c>
      <c r="B218" s="2" t="n">
        <v>44451</v>
      </c>
      <c r="C218" s="3" t="n">
        <v>4432.99</v>
      </c>
      <c r="D218" s="3" t="n">
        <v>146.06</v>
      </c>
      <c r="E218" s="4">
        <f>LN(C218/C217)</f>
        <v/>
      </c>
      <c r="F218" s="4">
        <f>LN(D218/D217)</f>
        <v/>
      </c>
    </row>
    <row r="219">
      <c r="A219" t="n">
        <v>218</v>
      </c>
      <c r="B219" s="2" t="n">
        <v>44444</v>
      </c>
      <c r="C219" s="3" t="n">
        <v>4458.58</v>
      </c>
      <c r="D219" s="3" t="n">
        <v>148.97</v>
      </c>
      <c r="E219" s="4">
        <f>LN(C219/C218)</f>
        <v/>
      </c>
      <c r="F219" s="4">
        <f>LN(D219/D218)</f>
        <v/>
      </c>
    </row>
    <row r="220">
      <c r="A220" t="n">
        <v>219</v>
      </c>
      <c r="B220" s="2" t="n">
        <v>44437</v>
      </c>
      <c r="C220" s="3" t="n">
        <v>4535.43</v>
      </c>
      <c r="D220" s="3" t="n">
        <v>154.3</v>
      </c>
      <c r="E220" s="4">
        <f>LN(C220/C219)</f>
        <v/>
      </c>
      <c r="F220" s="4">
        <f>LN(D220/D219)</f>
        <v/>
      </c>
    </row>
    <row r="221">
      <c r="A221" t="n">
        <v>220</v>
      </c>
      <c r="B221" s="2" t="n">
        <v>44430</v>
      </c>
      <c r="C221" s="3" t="n">
        <v>4509.37</v>
      </c>
      <c r="D221" s="3" t="n">
        <v>148.6</v>
      </c>
      <c r="E221" s="4">
        <f>LN(C221/C220)</f>
        <v/>
      </c>
      <c r="F221" s="4">
        <f>LN(D221/D220)</f>
        <v/>
      </c>
    </row>
    <row r="222">
      <c r="A222" t="n">
        <v>221</v>
      </c>
      <c r="B222" s="2" t="n">
        <v>44423</v>
      </c>
      <c r="C222" s="3" t="n">
        <v>4441.67</v>
      </c>
      <c r="D222" s="3" t="n">
        <v>148.19</v>
      </c>
      <c r="E222" s="4">
        <f>LN(C222/C221)</f>
        <v/>
      </c>
      <c r="F222" s="4">
        <f>LN(D222/D221)</f>
        <v/>
      </c>
    </row>
    <row r="223">
      <c r="A223" t="n">
        <v>222</v>
      </c>
      <c r="B223" s="2" t="n">
        <v>44416</v>
      </c>
      <c r="C223" s="3" t="n">
        <v>4468</v>
      </c>
      <c r="D223" s="3" t="n">
        <v>149.1</v>
      </c>
      <c r="E223" s="4">
        <f>LN(C223/C222)</f>
        <v/>
      </c>
      <c r="F223" s="4">
        <f>LN(D223/D222)</f>
        <v/>
      </c>
    </row>
    <row r="224">
      <c r="A224" t="n">
        <v>223</v>
      </c>
      <c r="B224" s="2" t="n">
        <v>44409</v>
      </c>
      <c r="C224" s="3" t="n">
        <v>4436.52</v>
      </c>
      <c r="D224" s="3" t="n">
        <v>146.14</v>
      </c>
      <c r="E224" s="4">
        <f>LN(C224/C223)</f>
        <v/>
      </c>
      <c r="F224" s="4">
        <f>LN(D224/D223)</f>
        <v/>
      </c>
    </row>
    <row r="225">
      <c r="A225" t="n">
        <v>224</v>
      </c>
      <c r="B225" s="2" t="n">
        <v>44402</v>
      </c>
      <c r="C225" s="3" t="n">
        <v>4395.26</v>
      </c>
      <c r="D225" s="3" t="n">
        <v>145.86</v>
      </c>
      <c r="E225" s="4">
        <f>LN(C225/C224)</f>
        <v/>
      </c>
      <c r="F225" s="4">
        <f>LN(D225/D224)</f>
        <v/>
      </c>
    </row>
    <row r="226">
      <c r="A226" t="n">
        <v>225</v>
      </c>
      <c r="B226" s="2" t="n">
        <v>44395</v>
      </c>
      <c r="C226" s="3" t="n">
        <v>4411.79</v>
      </c>
      <c r="D226" s="3" t="n">
        <v>148.56</v>
      </c>
      <c r="E226" s="4">
        <f>LN(C226/C225)</f>
        <v/>
      </c>
      <c r="F226" s="4">
        <f>LN(D226/D225)</f>
        <v/>
      </c>
    </row>
    <row r="227">
      <c r="A227" t="n">
        <v>226</v>
      </c>
      <c r="B227" s="2" t="n">
        <v>44388</v>
      </c>
      <c r="C227" s="3" t="n">
        <v>4327.16</v>
      </c>
      <c r="D227" s="3" t="n">
        <v>146.39</v>
      </c>
      <c r="E227" s="4">
        <f>LN(C227/C226)</f>
        <v/>
      </c>
      <c r="F227" s="4">
        <f>LN(D227/D226)</f>
        <v/>
      </c>
    </row>
    <row r="228">
      <c r="A228" t="n">
        <v>227</v>
      </c>
      <c r="B228" s="2" t="n">
        <v>44381</v>
      </c>
      <c r="C228" s="3" t="n">
        <v>4369.55</v>
      </c>
      <c r="D228" s="3" t="n">
        <v>145.11</v>
      </c>
      <c r="E228" s="4">
        <f>LN(C228/C227)</f>
        <v/>
      </c>
      <c r="F228" s="4">
        <f>LN(D228/D227)</f>
        <v/>
      </c>
    </row>
    <row r="229">
      <c r="A229" t="n">
        <v>228</v>
      </c>
      <c r="B229" s="2" t="n">
        <v>44374</v>
      </c>
      <c r="C229" s="3" t="n">
        <v>4352.34</v>
      </c>
      <c r="D229" s="3" t="n">
        <v>139.96</v>
      </c>
      <c r="E229" s="4">
        <f>LN(C229/C228)</f>
        <v/>
      </c>
      <c r="F229" s="4">
        <f>LN(D229/D228)</f>
        <v/>
      </c>
    </row>
    <row r="230">
      <c r="A230" t="n">
        <v>229</v>
      </c>
      <c r="B230" s="2" t="n">
        <v>44367</v>
      </c>
      <c r="C230" s="3" t="n">
        <v>4280.7</v>
      </c>
      <c r="D230" s="3" t="n">
        <v>133.11</v>
      </c>
      <c r="E230" s="4">
        <f>LN(C230/C229)</f>
        <v/>
      </c>
      <c r="F230" s="4">
        <f>LN(D230/D229)</f>
        <v/>
      </c>
    </row>
    <row r="231">
      <c r="A231" t="n">
        <v>230</v>
      </c>
      <c r="B231" s="2" t="n">
        <v>44360</v>
      </c>
      <c r="C231" s="3" t="n">
        <v>4166.45</v>
      </c>
      <c r="D231" s="3" t="n">
        <v>130.46</v>
      </c>
      <c r="E231" s="4">
        <f>LN(C231/C230)</f>
        <v/>
      </c>
      <c r="F231" s="4">
        <f>LN(D231/D230)</f>
        <v/>
      </c>
    </row>
    <row r="232">
      <c r="A232" t="n">
        <v>231</v>
      </c>
      <c r="B232" s="2" t="n">
        <v>44353</v>
      </c>
      <c r="C232" s="3" t="n">
        <v>4247.44</v>
      </c>
      <c r="D232" s="3" t="n">
        <v>127.35</v>
      </c>
      <c r="E232" s="4">
        <f>LN(C232/C231)</f>
        <v/>
      </c>
      <c r="F232" s="4">
        <f>LN(D232/D231)</f>
        <v/>
      </c>
    </row>
    <row r="233">
      <c r="A233" t="n">
        <v>232</v>
      </c>
      <c r="B233" s="2" t="n">
        <v>44346</v>
      </c>
      <c r="C233" s="3" t="n">
        <v>4229.89</v>
      </c>
      <c r="D233" s="3" t="n">
        <v>125.89</v>
      </c>
      <c r="E233" s="4">
        <f>LN(C233/C232)</f>
        <v/>
      </c>
      <c r="F233" s="4">
        <f>LN(D233/D232)</f>
        <v/>
      </c>
    </row>
    <row r="234">
      <c r="A234" t="n">
        <v>233</v>
      </c>
      <c r="B234" s="2" t="n">
        <v>44339</v>
      </c>
      <c r="C234" s="3" t="n">
        <v>4204.11</v>
      </c>
      <c r="D234" s="3" t="n">
        <v>124.61</v>
      </c>
      <c r="E234" s="4">
        <f>LN(C234/C233)</f>
        <v/>
      </c>
      <c r="F234" s="4">
        <f>LN(D234/D233)</f>
        <v/>
      </c>
    </row>
    <row r="235">
      <c r="A235" t="n">
        <v>234</v>
      </c>
      <c r="B235" s="2" t="n">
        <v>44332</v>
      </c>
      <c r="C235" s="3" t="n">
        <v>4155.86</v>
      </c>
      <c r="D235" s="3" t="n">
        <v>125.43</v>
      </c>
      <c r="E235" s="4">
        <f>LN(C235/C234)</f>
        <v/>
      </c>
      <c r="F235" s="4">
        <f>LN(D235/D234)</f>
        <v/>
      </c>
    </row>
    <row r="236">
      <c r="A236" t="n">
        <v>235</v>
      </c>
      <c r="B236" s="2" t="n">
        <v>44325</v>
      </c>
      <c r="C236" s="3" t="n">
        <v>4173.85</v>
      </c>
      <c r="D236" s="3" t="n">
        <v>127.45</v>
      </c>
      <c r="E236" s="4">
        <f>LN(C236/C235)</f>
        <v/>
      </c>
      <c r="F236" s="4">
        <f>LN(D236/D235)</f>
        <v/>
      </c>
    </row>
    <row r="237">
      <c r="A237" t="n">
        <v>236</v>
      </c>
      <c r="B237" s="2" t="n">
        <v>44318</v>
      </c>
      <c r="C237" s="3" t="n">
        <v>4232.6</v>
      </c>
      <c r="D237" s="3" t="n">
        <v>130.21</v>
      </c>
      <c r="E237" s="4">
        <f>LN(C237/C236)</f>
        <v/>
      </c>
      <c r="F237" s="4">
        <f>LN(D237/D236)</f>
        <v/>
      </c>
    </row>
    <row r="238">
      <c r="A238" t="n">
        <v>237</v>
      </c>
      <c r="B238" s="2" t="n">
        <v>44311</v>
      </c>
      <c r="C238" s="3" t="n">
        <v>4181.17</v>
      </c>
      <c r="D238" s="3" t="n">
        <v>131.46</v>
      </c>
      <c r="E238" s="4">
        <f>LN(C238/C237)</f>
        <v/>
      </c>
      <c r="F238" s="4">
        <f>LN(D238/D237)</f>
        <v/>
      </c>
    </row>
    <row r="239">
      <c r="A239" t="n">
        <v>238</v>
      </c>
      <c r="B239" s="2" t="n">
        <v>44304</v>
      </c>
      <c r="C239" s="3" t="n">
        <v>4180.17</v>
      </c>
      <c r="D239" s="3" t="n">
        <v>134.32</v>
      </c>
      <c r="E239" s="4">
        <f>LN(C239/C238)</f>
        <v/>
      </c>
      <c r="F239" s="4">
        <f>LN(D239/D238)</f>
        <v/>
      </c>
    </row>
    <row r="240">
      <c r="A240" t="n">
        <v>239</v>
      </c>
      <c r="B240" s="2" t="n">
        <v>44297</v>
      </c>
      <c r="C240" s="3" t="n">
        <v>4185.47</v>
      </c>
      <c r="D240" s="3" t="n">
        <v>134.16</v>
      </c>
      <c r="E240" s="4">
        <f>LN(C240/C239)</f>
        <v/>
      </c>
      <c r="F240" s="4">
        <f>LN(D240/D239)</f>
        <v/>
      </c>
    </row>
    <row r="241">
      <c r="A241" t="n">
        <v>240</v>
      </c>
      <c r="B241" s="2" t="n">
        <v>44290</v>
      </c>
      <c r="C241" s="3" t="n">
        <v>4128.8</v>
      </c>
      <c r="D241" s="3" t="n">
        <v>132.99</v>
      </c>
      <c r="E241" s="4">
        <f>LN(C241/C240)</f>
        <v/>
      </c>
      <c r="F241" s="4">
        <f>LN(D241/D240)</f>
        <v/>
      </c>
    </row>
    <row r="242">
      <c r="A242" t="n">
        <v>241</v>
      </c>
      <c r="B242" s="2" t="n">
        <v>44283</v>
      </c>
      <c r="C242" s="3" t="n">
        <v>4019.87</v>
      </c>
      <c r="D242" s="3" t="n">
        <v>123</v>
      </c>
      <c r="E242" s="4">
        <f>LN(C242/C241)</f>
        <v/>
      </c>
      <c r="F242" s="4">
        <f>LN(D242/D241)</f>
        <v/>
      </c>
    </row>
    <row r="243">
      <c r="A243" t="n">
        <v>242</v>
      </c>
      <c r="B243" s="2" t="n">
        <v>44276</v>
      </c>
      <c r="C243" s="3" t="n">
        <v>3974.54</v>
      </c>
      <c r="D243" s="3" t="n">
        <v>121.21</v>
      </c>
      <c r="E243" s="4">
        <f>LN(C243/C242)</f>
        <v/>
      </c>
      <c r="F243" s="4">
        <f>LN(D243/D242)</f>
        <v/>
      </c>
    </row>
    <row r="244">
      <c r="A244" t="n">
        <v>243</v>
      </c>
      <c r="B244" s="2" t="n">
        <v>44269</v>
      </c>
      <c r="C244" s="3" t="n">
        <v>3913.1</v>
      </c>
      <c r="D244" s="3" t="n">
        <v>119.99</v>
      </c>
      <c r="E244" s="4">
        <f>LN(C244/C243)</f>
        <v/>
      </c>
      <c r="F244" s="4">
        <f>LN(D244/D243)</f>
        <v/>
      </c>
    </row>
    <row r="245">
      <c r="A245" t="n">
        <v>244</v>
      </c>
      <c r="B245" s="2" t="n">
        <v>44262</v>
      </c>
      <c r="C245" s="3" t="n">
        <v>3943.34</v>
      </c>
      <c r="D245" s="3" t="n">
        <v>121.03</v>
      </c>
      <c r="E245" s="4">
        <f>LN(C245/C244)</f>
        <v/>
      </c>
      <c r="F245" s="4">
        <f>LN(D245/D244)</f>
        <v/>
      </c>
    </row>
    <row r="246">
      <c r="A246" t="n">
        <v>245</v>
      </c>
      <c r="B246" s="2" t="n">
        <v>44255</v>
      </c>
      <c r="C246" s="3" t="n">
        <v>3841.94</v>
      </c>
      <c r="D246" s="3" t="n">
        <v>121.42</v>
      </c>
      <c r="E246" s="4">
        <f>LN(C246/C245)</f>
        <v/>
      </c>
      <c r="F246" s="4">
        <f>LN(D246/D245)</f>
        <v/>
      </c>
    </row>
    <row r="247">
      <c r="A247" t="n">
        <v>246</v>
      </c>
      <c r="B247" s="2" t="n">
        <v>44248</v>
      </c>
      <c r="C247" s="3" t="n">
        <v>3811.15</v>
      </c>
      <c r="D247" s="3" t="n">
        <v>121.26</v>
      </c>
      <c r="E247" s="4">
        <f>LN(C247/C246)</f>
        <v/>
      </c>
      <c r="F247" s="4">
        <f>LN(D247/D246)</f>
        <v/>
      </c>
    </row>
    <row r="248">
      <c r="A248" t="n">
        <v>247</v>
      </c>
      <c r="B248" s="2" t="n">
        <v>44241</v>
      </c>
      <c r="C248" s="3" t="n">
        <v>3906.71</v>
      </c>
      <c r="D248" s="3" t="n">
        <v>129.87</v>
      </c>
      <c r="E248" s="4">
        <f>LN(C248/C247)</f>
        <v/>
      </c>
      <c r="F248" s="4">
        <f>LN(D248/D247)</f>
        <v/>
      </c>
    </row>
    <row r="249">
      <c r="A249" t="n">
        <v>248</v>
      </c>
      <c r="B249" s="2" t="n">
        <v>44234</v>
      </c>
      <c r="C249" s="3" t="n">
        <v>3934.83</v>
      </c>
      <c r="D249" s="3" t="n">
        <v>135.37</v>
      </c>
      <c r="E249" s="4">
        <f>LN(C249/C248)</f>
        <v/>
      </c>
      <c r="F249" s="4">
        <f>LN(D249/D248)</f>
        <v/>
      </c>
    </row>
    <row r="250">
      <c r="A250" t="n">
        <v>249</v>
      </c>
      <c r="B250" s="2" t="n">
        <v>44227</v>
      </c>
      <c r="C250" s="3" t="n">
        <v>3886.83</v>
      </c>
      <c r="D250" s="3" t="n">
        <v>136.76</v>
      </c>
      <c r="E250" s="4">
        <f>LN(C250/C249)</f>
        <v/>
      </c>
      <c r="F250" s="4">
        <f>LN(D250/D249)</f>
        <v/>
      </c>
    </row>
    <row r="251">
      <c r="A251" t="n">
        <v>250</v>
      </c>
      <c r="B251" s="2" t="n">
        <v>44220</v>
      </c>
      <c r="C251" s="3" t="n">
        <v>3714.24</v>
      </c>
      <c r="D251" s="3" t="n">
        <v>131.96</v>
      </c>
      <c r="E251" s="4">
        <f>LN(C251/C250)</f>
        <v/>
      </c>
      <c r="F251" s="4">
        <f>LN(D251/D250)</f>
        <v/>
      </c>
    </row>
    <row r="252">
      <c r="A252" t="n">
        <v>251</v>
      </c>
      <c r="B252" s="2" t="n">
        <v>44213</v>
      </c>
      <c r="C252" s="3" t="n">
        <v>3841.47</v>
      </c>
      <c r="D252" s="3" t="n">
        <v>139.07</v>
      </c>
      <c r="E252" s="4">
        <f>LN(C252/C251)</f>
        <v/>
      </c>
      <c r="F252" s="4">
        <f>LN(D252/D251)</f>
        <v/>
      </c>
    </row>
    <row r="253">
      <c r="A253" t="n">
        <v>252</v>
      </c>
      <c r="B253" s="2" t="n">
        <v>44206</v>
      </c>
      <c r="C253" s="3" t="n">
        <v>3768.25</v>
      </c>
      <c r="D253" s="3" t="n">
        <v>127.14</v>
      </c>
      <c r="E253" s="4">
        <f>LN(C253/C252)</f>
        <v/>
      </c>
      <c r="F253" s="4">
        <f>LN(D253/D252)</f>
        <v/>
      </c>
    </row>
    <row r="254">
      <c r="A254" t="n">
        <v>253</v>
      </c>
      <c r="B254" s="2" t="n">
        <v>44199</v>
      </c>
      <c r="C254" s="3" t="n">
        <v>3824.68</v>
      </c>
      <c r="D254" s="3" t="n">
        <v>132.05</v>
      </c>
      <c r="E254" s="4">
        <f>LN(C254/C253)</f>
        <v/>
      </c>
      <c r="F254" s="4">
        <f>LN(D254/D253)</f>
        <v/>
      </c>
    </row>
    <row r="255">
      <c r="A255" t="n">
        <v>254</v>
      </c>
      <c r="B255" s="2" t="n">
        <v>44192</v>
      </c>
      <c r="C255" s="3" t="n">
        <v>3756.07</v>
      </c>
      <c r="D255" s="3" t="n">
        <v>132.69</v>
      </c>
      <c r="E255" s="4">
        <f>LN(C255/C254)</f>
        <v/>
      </c>
      <c r="F255" s="4">
        <f>LN(D255/D254)</f>
        <v/>
      </c>
    </row>
    <row r="256">
      <c r="A256" t="n">
        <v>255</v>
      </c>
      <c r="B256" s="2" t="n">
        <v>44185</v>
      </c>
      <c r="C256" s="3" t="n">
        <v>3703.06</v>
      </c>
      <c r="D256" s="3" t="n">
        <v>131.97</v>
      </c>
      <c r="E256" s="4">
        <f>LN(C256/C255)</f>
        <v/>
      </c>
      <c r="F256" s="4">
        <f>LN(D256/D255)</f>
        <v/>
      </c>
    </row>
    <row r="257">
      <c r="A257" t="n">
        <v>256</v>
      </c>
      <c r="B257" s="2" t="n">
        <v>44178</v>
      </c>
      <c r="C257" s="3" t="n">
        <v>3709.41</v>
      </c>
      <c r="D257" s="3" t="n">
        <v>126.65</v>
      </c>
      <c r="E257" s="4">
        <f>LN(C257/C256)</f>
        <v/>
      </c>
      <c r="F257" s="4">
        <f>LN(D257/D256)</f>
        <v/>
      </c>
    </row>
    <row r="258">
      <c r="A258" t="n">
        <v>257</v>
      </c>
      <c r="B258" s="2" t="n">
        <v>44171</v>
      </c>
      <c r="C258" s="3" t="n">
        <v>3663.46</v>
      </c>
      <c r="D258" s="3" t="n">
        <v>122.41</v>
      </c>
      <c r="E258" s="4">
        <f>LN(C258/C257)</f>
        <v/>
      </c>
      <c r="F258" s="4">
        <f>LN(D258/D257)</f>
        <v/>
      </c>
    </row>
    <row r="259">
      <c r="A259" t="n">
        <v>258</v>
      </c>
      <c r="B259" s="2" t="n">
        <v>44164</v>
      </c>
      <c r="C259" s="3" t="n">
        <v>3699.12</v>
      </c>
      <c r="D259" s="3" t="n">
        <v>122.25</v>
      </c>
      <c r="E259" s="4">
        <f>LN(C259/C258)</f>
        <v/>
      </c>
      <c r="F259" s="4">
        <f>LN(D259/D258)</f>
        <v/>
      </c>
    </row>
    <row r="260">
      <c r="A260" t="n">
        <v>259</v>
      </c>
      <c r="B260" s="2" t="n">
        <v>44157</v>
      </c>
      <c r="C260" s="3" t="n">
        <v>3638.35</v>
      </c>
      <c r="D260" s="3" t="n">
        <v>116.59</v>
      </c>
      <c r="E260" s="4">
        <f>LN(C260/C259)</f>
        <v/>
      </c>
      <c r="F260" s="4">
        <f>LN(D260/D259)</f>
        <v/>
      </c>
    </row>
    <row r="261">
      <c r="A261" t="n">
        <v>260</v>
      </c>
      <c r="B261" s="2" t="n">
        <v>44150</v>
      </c>
      <c r="C261" s="3" t="n">
        <v>3557.54</v>
      </c>
      <c r="D261" s="3" t="n">
        <v>117.34</v>
      </c>
      <c r="E261" s="4">
        <f>LN(C261/C260)</f>
        <v/>
      </c>
      <c r="F261" s="4">
        <f>LN(D261/D260)</f>
        <v/>
      </c>
    </row>
    <row r="262">
      <c r="A262" t="n">
        <v>261</v>
      </c>
      <c r="B262" s="2" t="n">
        <v>44143</v>
      </c>
      <c r="C262" s="3" t="n">
        <v>3585.15</v>
      </c>
      <c r="D262" s="3" t="n">
        <v>119.26</v>
      </c>
      <c r="E262" s="4">
        <f>LN(C262/C261)</f>
        <v/>
      </c>
      <c r="F262" s="4">
        <f>LN(D262/D261)</f>
        <v/>
      </c>
    </row>
    <row r="263">
      <c r="A263" t="n">
        <v>262</v>
      </c>
      <c r="B263" s="2" t="n">
        <v>44136</v>
      </c>
      <c r="C263" s="3" t="n">
        <v>3509.44</v>
      </c>
      <c r="D263" s="3" t="n">
        <v>118.69</v>
      </c>
      <c r="E263" s="4">
        <f>LN(C263/C262)</f>
        <v/>
      </c>
      <c r="F263" s="4">
        <f>LN(D263/D262)</f>
        <v/>
      </c>
    </row>
    <row r="264">
      <c r="A264" t="n">
        <v>263</v>
      </c>
      <c r="B264" s="2" t="n">
        <v>44129</v>
      </c>
      <c r="C264" s="3" t="n">
        <v>3269.96</v>
      </c>
      <c r="D264" s="3" t="n">
        <v>108.86</v>
      </c>
      <c r="E264" s="4">
        <f>LN(C264/C263)</f>
        <v/>
      </c>
      <c r="F264" s="4">
        <f>LN(D264/D263)</f>
        <v/>
      </c>
    </row>
    <row r="265">
      <c r="A265" t="n">
        <v>264</v>
      </c>
      <c r="B265" s="2" t="n">
        <v>44122</v>
      </c>
      <c r="C265" s="3" t="n">
        <v>3465.39</v>
      </c>
      <c r="D265" s="3" t="n">
        <v>115.04</v>
      </c>
      <c r="E265" s="4">
        <f>LN(C265/C264)</f>
        <v/>
      </c>
      <c r="F265" s="4">
        <f>LN(D265/D264)</f>
        <v/>
      </c>
    </row>
    <row r="266">
      <c r="A266" t="n">
        <v>265</v>
      </c>
      <c r="B266" s="2" t="n">
        <v>44115</v>
      </c>
      <c r="C266" s="3" t="n">
        <v>3483.81</v>
      </c>
      <c r="D266" s="3" t="n">
        <v>119.02</v>
      </c>
      <c r="E266" s="4">
        <f>LN(C266/C265)</f>
        <v/>
      </c>
      <c r="F266" s="4">
        <f>LN(D266/D265)</f>
        <v/>
      </c>
    </row>
    <row r="267">
      <c r="A267" t="n">
        <v>266</v>
      </c>
      <c r="B267" s="2" t="n">
        <v>44108</v>
      </c>
      <c r="C267" s="3" t="n">
        <v>3477.13</v>
      </c>
      <c r="D267" s="3" t="n">
        <v>116.97</v>
      </c>
      <c r="E267" s="4">
        <f>LN(C267/C266)</f>
        <v/>
      </c>
      <c r="F267" s="4">
        <f>LN(D267/D266)</f>
        <v/>
      </c>
    </row>
    <row r="268">
      <c r="A268" t="n">
        <v>267</v>
      </c>
      <c r="B268" s="2" t="n">
        <v>44101</v>
      </c>
      <c r="C268" s="3" t="n">
        <v>3348.44</v>
      </c>
      <c r="D268" s="3" t="n">
        <v>113.02</v>
      </c>
      <c r="E268" s="4">
        <f>LN(C268/C267)</f>
        <v/>
      </c>
      <c r="F268" s="4">
        <f>LN(D268/D267)</f>
        <v/>
      </c>
    </row>
    <row r="269">
      <c r="A269" t="n">
        <v>268</v>
      </c>
      <c r="B269" s="2" t="n">
        <v>44094</v>
      </c>
      <c r="C269" s="3" t="n">
        <v>3298.46</v>
      </c>
      <c r="D269" s="3" t="n">
        <v>112.28</v>
      </c>
      <c r="E269" s="4">
        <f>LN(C269/C268)</f>
        <v/>
      </c>
      <c r="F269" s="4">
        <f>LN(D269/D268)</f>
        <v/>
      </c>
    </row>
    <row r="270">
      <c r="A270" t="n">
        <v>269</v>
      </c>
      <c r="B270" s="2" t="n">
        <v>44087</v>
      </c>
      <c r="C270" s="3" t="n">
        <v>3319.47</v>
      </c>
      <c r="D270" s="3" t="n">
        <v>106.84</v>
      </c>
      <c r="E270" s="4">
        <f>LN(C270/C269)</f>
        <v/>
      </c>
      <c r="F270" s="4">
        <f>LN(D270/D269)</f>
        <v/>
      </c>
    </row>
    <row r="271">
      <c r="A271" t="n">
        <v>270</v>
      </c>
      <c r="B271" s="2" t="n">
        <v>44080</v>
      </c>
      <c r="C271" s="3" t="n">
        <v>3340.97</v>
      </c>
      <c r="D271" s="3" t="n">
        <v>112</v>
      </c>
      <c r="E271" s="4">
        <f>LN(C271/C270)</f>
        <v/>
      </c>
      <c r="F271" s="4">
        <f>LN(D271/D270)</f>
        <v/>
      </c>
    </row>
    <row r="272">
      <c r="A272" t="n">
        <v>271</v>
      </c>
      <c r="B272" s="2" t="n">
        <v>44073</v>
      </c>
      <c r="C272" s="3" t="n">
        <v>3426.96</v>
      </c>
      <c r="D272" s="3" t="n">
        <v>120.96</v>
      </c>
      <c r="E272" s="4">
        <f>LN(C272/C271)</f>
        <v/>
      </c>
      <c r="F272" s="4">
        <f>LN(D272/D271)</f>
        <v/>
      </c>
    </row>
    <row r="273">
      <c r="A273" t="n">
        <v>272</v>
      </c>
      <c r="B273" s="2" t="n">
        <v>44066</v>
      </c>
      <c r="C273" s="3" t="n">
        <v>3508.01</v>
      </c>
      <c r="D273" s="3" t="n">
        <v>124.81</v>
      </c>
      <c r="E273" s="4">
        <f>LN(C273/C272)</f>
        <v/>
      </c>
      <c r="F273" s="4">
        <f>LN(D273/D272)</f>
        <v/>
      </c>
    </row>
    <row r="274">
      <c r="A274" t="n">
        <v>273</v>
      </c>
      <c r="B274" s="2" t="n">
        <v>44059</v>
      </c>
      <c r="C274" s="3" t="n">
        <v>3397.16</v>
      </c>
      <c r="D274" s="3" t="n">
        <v>124.37</v>
      </c>
      <c r="E274" s="4">
        <f>LN(C274/C273)</f>
        <v/>
      </c>
      <c r="F274" s="4">
        <f>LN(D274/D273)</f>
        <v/>
      </c>
    </row>
    <row r="275">
      <c r="A275" t="n">
        <v>274</v>
      </c>
      <c r="B275" s="2" t="n">
        <v>44052</v>
      </c>
      <c r="C275" s="3" t="n">
        <v>3372.85</v>
      </c>
      <c r="D275" s="3" t="n">
        <v>114.91</v>
      </c>
      <c r="E275" s="4">
        <f>LN(C275/C274)</f>
        <v/>
      </c>
      <c r="F275" s="4">
        <f>LN(D275/D274)</f>
        <v/>
      </c>
    </row>
    <row r="276">
      <c r="A276" t="n">
        <v>275</v>
      </c>
      <c r="B276" s="2" t="n">
        <v>44045</v>
      </c>
      <c r="C276" s="3" t="n">
        <v>3351.28</v>
      </c>
      <c r="D276" s="3" t="n">
        <v>111.11</v>
      </c>
      <c r="E276" s="4">
        <f>LN(C276/C275)</f>
        <v/>
      </c>
      <c r="F276" s="4">
        <f>LN(D276/D275)</f>
        <v/>
      </c>
    </row>
    <row r="277">
      <c r="A277" t="n">
        <v>276</v>
      </c>
      <c r="B277" s="2" t="n">
        <v>44038</v>
      </c>
      <c r="C277" s="3" t="n">
        <v>3271.12</v>
      </c>
      <c r="D277" s="3" t="n">
        <v>106.26</v>
      </c>
      <c r="E277" s="4">
        <f>LN(C277/C276)</f>
        <v/>
      </c>
      <c r="F277" s="4">
        <f>LN(D277/D276)</f>
        <v/>
      </c>
    </row>
    <row r="278">
      <c r="A278" t="n">
        <v>277</v>
      </c>
      <c r="B278" s="2" t="n">
        <v>44031</v>
      </c>
      <c r="C278" s="3" t="n">
        <v>3215.63</v>
      </c>
      <c r="D278" s="3" t="n">
        <v>92.61</v>
      </c>
      <c r="E278" s="4">
        <f>LN(C278/C277)</f>
        <v/>
      </c>
      <c r="F278" s="4">
        <f>LN(D278/D277)</f>
        <v/>
      </c>
    </row>
    <row r="279">
      <c r="A279" t="n">
        <v>278</v>
      </c>
      <c r="B279" s="2" t="n">
        <v>44024</v>
      </c>
      <c r="C279" s="3" t="n">
        <v>3224.73</v>
      </c>
      <c r="D279" s="3" t="n">
        <v>96.33</v>
      </c>
      <c r="E279" s="4">
        <f>LN(C279/C278)</f>
        <v/>
      </c>
      <c r="F279" s="4">
        <f>LN(D279/D278)</f>
        <v/>
      </c>
    </row>
    <row r="280">
      <c r="A280" t="n">
        <v>279</v>
      </c>
      <c r="B280" s="2" t="n">
        <v>44017</v>
      </c>
      <c r="C280" s="3" t="n">
        <v>3185.04</v>
      </c>
      <c r="D280" s="3" t="n">
        <v>95.92</v>
      </c>
      <c r="E280" s="4">
        <f>LN(C280/C279)</f>
        <v/>
      </c>
      <c r="F280" s="4">
        <f>LN(D280/D279)</f>
        <v/>
      </c>
    </row>
    <row r="281">
      <c r="A281" t="n">
        <v>280</v>
      </c>
      <c r="B281" s="2" t="n">
        <v>44010</v>
      </c>
      <c r="C281" s="3" t="n">
        <v>3130.01</v>
      </c>
      <c r="D281" s="3" t="n">
        <v>91.03</v>
      </c>
      <c r="E281" s="4">
        <f>LN(C281/C280)</f>
        <v/>
      </c>
      <c r="F281" s="4">
        <f>LN(D281/D280)</f>
        <v/>
      </c>
    </row>
    <row r="282">
      <c r="A282" t="n">
        <v>281</v>
      </c>
      <c r="B282" s="2" t="n">
        <v>44003</v>
      </c>
      <c r="C282" s="3" t="n">
        <v>3009.05</v>
      </c>
      <c r="D282" s="3" t="n">
        <v>88.41</v>
      </c>
      <c r="E282" s="4">
        <f>LN(C282/C281)</f>
        <v/>
      </c>
      <c r="F282" s="4">
        <f>LN(D282/D281)</f>
        <v/>
      </c>
    </row>
    <row r="283">
      <c r="A283" t="n">
        <v>282</v>
      </c>
      <c r="B283" s="2" t="n">
        <v>43996</v>
      </c>
      <c r="C283" s="3" t="n">
        <v>3097.74</v>
      </c>
      <c r="D283" s="3" t="n">
        <v>87.43000000000001</v>
      </c>
      <c r="E283" s="4">
        <f>LN(C283/C282)</f>
        <v/>
      </c>
      <c r="F283" s="4">
        <f>LN(D283/D282)</f>
        <v/>
      </c>
    </row>
    <row r="284">
      <c r="A284" t="n">
        <v>283</v>
      </c>
      <c r="B284" s="2" t="n">
        <v>43989</v>
      </c>
      <c r="C284" s="3" t="n">
        <v>3041.31</v>
      </c>
      <c r="D284" s="3" t="n">
        <v>84.7</v>
      </c>
      <c r="E284" s="4">
        <f>LN(C284/C283)</f>
        <v/>
      </c>
      <c r="F284" s="4">
        <f>LN(D284/D283)</f>
        <v/>
      </c>
    </row>
    <row r="285">
      <c r="A285" t="n">
        <v>284</v>
      </c>
      <c r="B285" s="2" t="n">
        <v>43982</v>
      </c>
      <c r="C285" s="3" t="n">
        <v>3193.93</v>
      </c>
      <c r="D285" s="3" t="n">
        <v>82.88</v>
      </c>
      <c r="E285" s="4">
        <f>LN(C285/C284)</f>
        <v/>
      </c>
      <c r="F285" s="4">
        <f>LN(D285/D284)</f>
        <v/>
      </c>
    </row>
    <row r="286">
      <c r="A286" t="n">
        <v>285</v>
      </c>
      <c r="B286" s="2" t="n">
        <v>43975</v>
      </c>
      <c r="C286" s="3" t="n">
        <v>3044.31</v>
      </c>
      <c r="D286" s="3" t="n">
        <v>79.48999999999999</v>
      </c>
      <c r="E286" s="4">
        <f>LN(C286/C285)</f>
        <v/>
      </c>
      <c r="F286" s="4">
        <f>LN(D286/D285)</f>
        <v/>
      </c>
    </row>
    <row r="287">
      <c r="A287" t="n">
        <v>286</v>
      </c>
      <c r="B287" s="2" t="n">
        <v>43968</v>
      </c>
      <c r="C287" s="3" t="n">
        <v>2955.45</v>
      </c>
      <c r="D287" s="3" t="n">
        <v>79.72</v>
      </c>
      <c r="E287" s="4">
        <f>LN(C287/C286)</f>
        <v/>
      </c>
      <c r="F287" s="4">
        <f>LN(D287/D286)</f>
        <v/>
      </c>
    </row>
    <row r="288">
      <c r="A288" t="n">
        <v>287</v>
      </c>
      <c r="B288" s="2" t="n">
        <v>43961</v>
      </c>
      <c r="C288" s="3" t="n">
        <v>2863.7</v>
      </c>
      <c r="D288" s="3" t="n">
        <v>76.93000000000001</v>
      </c>
      <c r="E288" s="4">
        <f>LN(C288/C287)</f>
        <v/>
      </c>
      <c r="F288" s="4">
        <f>LN(D288/D287)</f>
        <v/>
      </c>
    </row>
    <row r="289">
      <c r="A289" t="n">
        <v>288</v>
      </c>
      <c r="B289" s="2" t="n">
        <v>43954</v>
      </c>
      <c r="C289" s="3" t="n">
        <v>2929.8</v>
      </c>
      <c r="D289" s="3" t="n">
        <v>77.53</v>
      </c>
      <c r="E289" s="4">
        <f>LN(C289/C288)</f>
        <v/>
      </c>
      <c r="F289" s="4">
        <f>LN(D289/D288)</f>
        <v/>
      </c>
    </row>
    <row r="290">
      <c r="A290" t="n">
        <v>289</v>
      </c>
      <c r="B290" s="2" t="n">
        <v>43947</v>
      </c>
      <c r="C290" s="3" t="n">
        <v>2830.71</v>
      </c>
      <c r="D290" s="3" t="n">
        <v>72.27</v>
      </c>
      <c r="E290" s="4">
        <f>LN(C290/C289)</f>
        <v/>
      </c>
      <c r="F290" s="4">
        <f>LN(D290/D289)</f>
        <v/>
      </c>
    </row>
    <row r="291">
      <c r="A291" t="n">
        <v>290</v>
      </c>
      <c r="B291" s="2" t="n">
        <v>43940</v>
      </c>
      <c r="C291" s="3" t="n">
        <v>2836.74</v>
      </c>
      <c r="D291" s="3" t="n">
        <v>70.73999999999999</v>
      </c>
      <c r="E291" s="4">
        <f>LN(C291/C290)</f>
        <v/>
      </c>
      <c r="F291" s="4">
        <f>LN(D291/D290)</f>
        <v/>
      </c>
    </row>
    <row r="292">
      <c r="A292" t="n">
        <v>291</v>
      </c>
      <c r="B292" s="2" t="n">
        <v>43933</v>
      </c>
      <c r="C292" s="3" t="n">
        <v>2874.56</v>
      </c>
      <c r="D292" s="3" t="n">
        <v>70.7</v>
      </c>
      <c r="E292" s="4">
        <f>LN(C292/C291)</f>
        <v/>
      </c>
      <c r="F292" s="4">
        <f>LN(D292/D291)</f>
        <v/>
      </c>
    </row>
    <row r="293">
      <c r="A293" t="n">
        <v>292</v>
      </c>
      <c r="B293" s="2" t="n">
        <v>43926</v>
      </c>
      <c r="C293" s="3" t="n">
        <v>2789.82</v>
      </c>
      <c r="D293" s="3" t="n">
        <v>67</v>
      </c>
      <c r="E293" s="4">
        <f>LN(C293/C292)</f>
        <v/>
      </c>
      <c r="F293" s="4">
        <f>LN(D293/D292)</f>
        <v/>
      </c>
    </row>
    <row r="294">
      <c r="A294" t="n">
        <v>293</v>
      </c>
      <c r="B294" s="2" t="n">
        <v>43919</v>
      </c>
      <c r="C294" s="3" t="n">
        <v>2488.65</v>
      </c>
      <c r="D294" s="3" t="n">
        <v>60.35</v>
      </c>
      <c r="E294" s="4">
        <f>LN(C294/C293)</f>
        <v/>
      </c>
      <c r="F294" s="4">
        <f>LN(D294/D293)</f>
        <v/>
      </c>
    </row>
    <row r="295">
      <c r="A295" t="n">
        <v>294</v>
      </c>
      <c r="B295" s="2" t="n">
        <v>43912</v>
      </c>
      <c r="C295" s="3" t="n">
        <v>2541.47</v>
      </c>
      <c r="D295" s="3" t="n">
        <v>61.94</v>
      </c>
      <c r="E295" s="4">
        <f>LN(C295/C294)</f>
        <v/>
      </c>
      <c r="F295" s="4">
        <f>LN(D295/D294)</f>
        <v/>
      </c>
    </row>
    <row r="296">
      <c r="A296" t="n">
        <v>295</v>
      </c>
      <c r="B296" s="2" t="n">
        <v>43905</v>
      </c>
      <c r="C296" s="3" t="n">
        <v>2304.92</v>
      </c>
      <c r="D296" s="3" t="n">
        <v>57.31</v>
      </c>
      <c r="E296" s="4">
        <f>LN(C296/C295)</f>
        <v/>
      </c>
      <c r="F296" s="4">
        <f>LN(D296/D295)</f>
        <v/>
      </c>
    </row>
    <row r="297">
      <c r="A297" t="n">
        <v>296</v>
      </c>
      <c r="B297" s="2" t="n">
        <v>43898</v>
      </c>
      <c r="C297" s="3" t="n">
        <v>2711.02</v>
      </c>
      <c r="D297" s="3" t="n">
        <v>69.48999999999999</v>
      </c>
      <c r="E297" s="4">
        <f>LN(C297/C296)</f>
        <v/>
      </c>
      <c r="F297" s="4">
        <f>LN(D297/D296)</f>
        <v/>
      </c>
    </row>
    <row r="298">
      <c r="A298" t="n">
        <v>297</v>
      </c>
      <c r="B298" s="2" t="n">
        <v>43891</v>
      </c>
      <c r="C298" s="3" t="n">
        <v>2972.37</v>
      </c>
      <c r="D298" s="3" t="n">
        <v>72.26000000000001</v>
      </c>
      <c r="E298" s="4">
        <f>LN(C298/C297)</f>
        <v/>
      </c>
      <c r="F298" s="4">
        <f>LN(D298/D297)</f>
        <v/>
      </c>
    </row>
    <row r="299">
      <c r="A299" t="n">
        <v>298</v>
      </c>
      <c r="B299" s="2" t="n">
        <v>43884</v>
      </c>
      <c r="C299" s="3" t="n">
        <v>2954.22</v>
      </c>
      <c r="D299" s="3" t="n">
        <v>68.34</v>
      </c>
      <c r="E299" s="4">
        <f>LN(C299/C298)</f>
        <v/>
      </c>
      <c r="F299" s="4">
        <f>LN(D299/D298)</f>
        <v/>
      </c>
    </row>
    <row r="300">
      <c r="A300" t="n">
        <v>299</v>
      </c>
      <c r="B300" s="2" t="n">
        <v>43877</v>
      </c>
      <c r="C300" s="3" t="n">
        <v>3337.75</v>
      </c>
      <c r="D300" s="3" t="n">
        <v>78.26000000000001</v>
      </c>
      <c r="E300" s="4">
        <f>LN(C300/C299)</f>
        <v/>
      </c>
      <c r="F300" s="4">
        <f>LN(D300/D299)</f>
        <v/>
      </c>
    </row>
    <row r="301">
      <c r="A301" t="n">
        <v>300</v>
      </c>
      <c r="B301" s="2" t="n">
        <v>43870</v>
      </c>
      <c r="C301" s="3" t="n">
        <v>3380.16</v>
      </c>
      <c r="D301" s="3" t="n">
        <v>81.23999999999999</v>
      </c>
      <c r="E301" s="4">
        <f>LN(C301/C300)</f>
        <v/>
      </c>
      <c r="F301" s="4">
        <f>LN(D301/D300)</f>
        <v/>
      </c>
    </row>
    <row r="302">
      <c r="A302" t="n">
        <v>301</v>
      </c>
      <c r="B302" s="2" t="n">
        <v>43863</v>
      </c>
      <c r="C302" s="3" t="n">
        <v>3327.71</v>
      </c>
      <c r="D302" s="3" t="n">
        <v>80.01000000000001</v>
      </c>
      <c r="E302" s="4">
        <f>LN(C302/C301)</f>
        <v/>
      </c>
      <c r="F302" s="4">
        <f>LN(D302/D301)</f>
        <v/>
      </c>
    </row>
    <row r="303">
      <c r="A303" t="n">
        <v>302</v>
      </c>
      <c r="B303" s="2" t="n">
        <v>43856</v>
      </c>
      <c r="C303" s="3" t="n">
        <v>3225.52</v>
      </c>
      <c r="D303" s="3" t="n">
        <v>77.38</v>
      </c>
      <c r="E303" s="4">
        <f>LN(C303/C302)</f>
        <v/>
      </c>
      <c r="F303" s="4">
        <f>LN(D303/D302)</f>
        <v/>
      </c>
    </row>
    <row r="304">
      <c r="A304" t="n">
        <v>303</v>
      </c>
      <c r="B304" s="2" t="n">
        <v>43849</v>
      </c>
      <c r="C304" s="3" t="n">
        <v>3295.47</v>
      </c>
      <c r="D304" s="3" t="n">
        <v>79.58</v>
      </c>
      <c r="E304" s="4">
        <f>LN(C304/C303)</f>
        <v/>
      </c>
      <c r="F304" s="4">
        <f>LN(D304/D303)</f>
        <v/>
      </c>
    </row>
    <row r="305">
      <c r="A305" t="n">
        <v>304</v>
      </c>
      <c r="B305" s="2" t="n">
        <v>43842</v>
      </c>
      <c r="C305" s="3" t="n">
        <v>3329.62</v>
      </c>
      <c r="D305" s="3" t="n">
        <v>79.68000000000001</v>
      </c>
      <c r="E305" s="4">
        <f>LN(C305/C304)</f>
        <v/>
      </c>
      <c r="F305" s="4">
        <f>LN(D305/D304)</f>
        <v/>
      </c>
    </row>
    <row r="306">
      <c r="A306" t="n">
        <v>305</v>
      </c>
      <c r="B306" s="2" t="n">
        <v>43835</v>
      </c>
      <c r="C306" s="3" t="n">
        <v>3265.35</v>
      </c>
      <c r="D306" s="3" t="n">
        <v>77.58</v>
      </c>
      <c r="E306" s="4">
        <f>LN(C306/C305)</f>
        <v/>
      </c>
      <c r="F306" s="4">
        <f>LN(D306/D305)</f>
        <v/>
      </c>
    </row>
    <row r="307">
      <c r="A307" t="n">
        <v>306</v>
      </c>
      <c r="B307" s="2" t="n">
        <v>43828</v>
      </c>
      <c r="C307" s="3" t="n">
        <v>3234.85</v>
      </c>
      <c r="D307" s="3" t="n">
        <v>74.36</v>
      </c>
      <c r="E307" s="4">
        <f>LN(C307/C306)</f>
        <v/>
      </c>
      <c r="F307" s="4">
        <f>LN(D307/D306)</f>
        <v/>
      </c>
    </row>
    <row r="308">
      <c r="A308" t="n">
        <v>307</v>
      </c>
      <c r="B308" s="2" t="n">
        <v>43821</v>
      </c>
      <c r="C308" s="3" t="n">
        <v>3240.02</v>
      </c>
      <c r="D308" s="3" t="n">
        <v>72.45</v>
      </c>
      <c r="E308" s="4">
        <f>LN(C308/C307)</f>
        <v/>
      </c>
      <c r="F308" s="4">
        <f>LN(D308/D307)</f>
        <v/>
      </c>
    </row>
    <row r="309">
      <c r="A309" t="n">
        <v>308</v>
      </c>
      <c r="B309" s="2" t="n">
        <v>43814</v>
      </c>
      <c r="C309" s="3" t="n">
        <v>3221.22</v>
      </c>
      <c r="D309" s="3" t="n">
        <v>69.86</v>
      </c>
      <c r="E309" s="4">
        <f>LN(C309/C308)</f>
        <v/>
      </c>
      <c r="F309" s="4">
        <f>LN(D309/D308)</f>
        <v/>
      </c>
    </row>
    <row r="310">
      <c r="A310" t="n">
        <v>309</v>
      </c>
      <c r="B310" s="2" t="n">
        <v>43807</v>
      </c>
      <c r="C310" s="3" t="n">
        <v>3168.8</v>
      </c>
      <c r="D310" s="3" t="n">
        <v>68.79000000000001</v>
      </c>
      <c r="E310" s="4">
        <f>LN(C310/C309)</f>
        <v/>
      </c>
      <c r="F310" s="4">
        <f>LN(D310/D309)</f>
        <v/>
      </c>
    </row>
    <row r="311">
      <c r="A311" t="n">
        <v>310</v>
      </c>
      <c r="B311" s="2" t="n">
        <v>43800</v>
      </c>
      <c r="C311" s="3" t="n">
        <v>3145.91</v>
      </c>
      <c r="D311" s="3" t="n">
        <v>67.68000000000001</v>
      </c>
      <c r="E311" s="4">
        <f>LN(C311/C310)</f>
        <v/>
      </c>
      <c r="F311" s="4">
        <f>LN(D311/D310)</f>
        <v/>
      </c>
    </row>
    <row r="312">
      <c r="A312" t="n">
        <v>311</v>
      </c>
      <c r="B312" s="2" t="n">
        <v>43793</v>
      </c>
      <c r="C312" s="3" t="n">
        <v>3140.98</v>
      </c>
      <c r="D312" s="3" t="n">
        <v>66.81</v>
      </c>
      <c r="E312" s="4">
        <f>LN(C312/C311)</f>
        <v/>
      </c>
      <c r="F312" s="4">
        <f>LN(D312/D311)</f>
        <v/>
      </c>
    </row>
    <row r="313">
      <c r="A313" t="n">
        <v>312</v>
      </c>
      <c r="B313" s="2" t="n">
        <v>43786</v>
      </c>
      <c r="C313" s="3" t="n">
        <v>3110.29</v>
      </c>
      <c r="D313" s="3" t="n">
        <v>65.44</v>
      </c>
      <c r="E313" s="4">
        <f>LN(C313/C312)</f>
        <v/>
      </c>
      <c r="F313" s="4">
        <f>LN(D313/D312)</f>
        <v/>
      </c>
    </row>
    <row r="314">
      <c r="A314" t="n">
        <v>313</v>
      </c>
      <c r="B314" s="2" t="n">
        <v>43779</v>
      </c>
      <c r="C314" s="3" t="n">
        <v>3120.46</v>
      </c>
      <c r="D314" s="3" t="n">
        <v>66.44</v>
      </c>
      <c r="E314" s="4">
        <f>LN(C314/C313)</f>
        <v/>
      </c>
      <c r="F314" s="4">
        <f>LN(D314/D313)</f>
        <v/>
      </c>
    </row>
    <row r="315">
      <c r="A315" t="n">
        <v>314</v>
      </c>
      <c r="B315" s="2" t="n">
        <v>43772</v>
      </c>
      <c r="C315" s="3" t="n">
        <v>3093.08</v>
      </c>
      <c r="D315" s="3" t="n">
        <v>65.04000000000001</v>
      </c>
      <c r="E315" s="4">
        <f>LN(C315/C314)</f>
        <v/>
      </c>
      <c r="F315" s="4">
        <f>LN(D315/D314)</f>
        <v/>
      </c>
    </row>
    <row r="316">
      <c r="A316" t="n">
        <v>315</v>
      </c>
      <c r="B316" s="2" t="n">
        <v>43765</v>
      </c>
      <c r="C316" s="3" t="n">
        <v>3066.91</v>
      </c>
      <c r="D316" s="3" t="n">
        <v/>
      </c>
      <c r="E316" s="4">
        <f>LN(C316/C315)</f>
        <v/>
      </c>
      <c r="F316" s="4">
        <f>LN(D316/D315)</f>
        <v/>
      </c>
    </row>
    <row r="317">
      <c r="A317" t="n">
        <v>316</v>
      </c>
      <c r="B317" s="2" t="n">
        <v>43758</v>
      </c>
      <c r="C317" s="3" t="n">
        <v>3022.55</v>
      </c>
      <c r="D317" s="3" t="n">
        <v/>
      </c>
      <c r="E317" s="4">
        <f>LN(C317/C316)</f>
        <v/>
      </c>
      <c r="F317" s="4">
        <f>LN(D317/D316)</f>
        <v/>
      </c>
    </row>
    <row r="318">
      <c r="A318" t="n">
        <v>317</v>
      </c>
      <c r="B318" s="2" t="n">
        <v>43751</v>
      </c>
      <c r="C318" s="3" t="n">
        <v>2986.2</v>
      </c>
      <c r="D318" s="3" t="n">
        <v/>
      </c>
      <c r="E318" s="4">
        <f>LN(C318/C317)</f>
        <v/>
      </c>
      <c r="F318" s="4">
        <f>LN(D318/D317)</f>
        <v/>
      </c>
    </row>
    <row r="319">
      <c r="A319" t="n">
        <v>318</v>
      </c>
      <c r="B319" s="2" t="n">
        <v>43744</v>
      </c>
      <c r="C319" s="3" t="n">
        <v>2970.27</v>
      </c>
      <c r="D319" s="3" t="n">
        <v/>
      </c>
      <c r="E319" s="4">
        <f>LN(C319/C318)</f>
        <v/>
      </c>
      <c r="F319" s="4">
        <f>LN(D319/D318)</f>
        <v/>
      </c>
    </row>
    <row r="320">
      <c r="A320" t="n">
        <v>319</v>
      </c>
      <c r="B320" s="2" t="n">
        <v>43737</v>
      </c>
      <c r="C320" s="3" t="n">
        <v>2952.01</v>
      </c>
      <c r="D320" s="3" t="n">
        <v/>
      </c>
      <c r="E320" s="4">
        <f>LN(C320/C319)</f>
        <v/>
      </c>
      <c r="F320" s="4">
        <f>LN(D320/D319)</f>
        <v/>
      </c>
    </row>
    <row r="321">
      <c r="A321" t="n">
        <v>320</v>
      </c>
      <c r="B321" s="2" t="n">
        <v>43730</v>
      </c>
      <c r="C321" s="3" t="n">
        <v>2961.79</v>
      </c>
      <c r="D321" s="3" t="n">
        <v/>
      </c>
      <c r="E321" s="4">
        <f>LN(C321/C320)</f>
        <v/>
      </c>
      <c r="F321" s="4">
        <f>LN(D321/D320)</f>
        <v/>
      </c>
    </row>
    <row r="322">
      <c r="A322" t="n">
        <v>321</v>
      </c>
      <c r="B322" s="2" t="n">
        <v>43723</v>
      </c>
      <c r="C322" s="3" t="n">
        <v>2992.07</v>
      </c>
      <c r="D322" s="3" t="n">
        <v/>
      </c>
      <c r="E322" s="4">
        <f>LN(C322/C321)</f>
        <v/>
      </c>
      <c r="F322" s="4">
        <f>LN(D322/D321)</f>
        <v/>
      </c>
    </row>
    <row r="323">
      <c r="A323" t="n">
        <v>322</v>
      </c>
      <c r="B323" s="2" t="n">
        <v>43716</v>
      </c>
      <c r="C323" s="3" t="n">
        <v>3007.39</v>
      </c>
      <c r="D323" s="3" t="n">
        <v/>
      </c>
      <c r="E323" s="4">
        <f>LN(C323/C322)</f>
        <v/>
      </c>
      <c r="F323" s="4">
        <f>LN(D323/D322)</f>
        <v/>
      </c>
    </row>
    <row r="324">
      <c r="A324" t="n">
        <v>323</v>
      </c>
      <c r="B324" s="2" t="n">
        <v>43709</v>
      </c>
      <c r="C324" s="3" t="n">
        <v>2978.71</v>
      </c>
      <c r="D324" s="3" t="n">
        <v/>
      </c>
      <c r="E324" s="4">
        <f>LN(C324/C323)</f>
        <v/>
      </c>
      <c r="F324" s="4">
        <f>LN(D324/D323)</f>
        <v/>
      </c>
    </row>
    <row r="325">
      <c r="A325" t="n">
        <v>324</v>
      </c>
      <c r="B325" s="2" t="n">
        <v>43702</v>
      </c>
      <c r="C325" s="3" t="n">
        <v>2926.46</v>
      </c>
      <c r="D325" s="3" t="n">
        <v/>
      </c>
      <c r="E325" s="4">
        <f>LN(C325/C324)</f>
        <v/>
      </c>
      <c r="F325" s="4">
        <f>LN(D325/D324)</f>
        <v/>
      </c>
    </row>
    <row r="326">
      <c r="A326" t="n">
        <v>325</v>
      </c>
      <c r="B326" s="2" t="n">
        <v>43695</v>
      </c>
      <c r="C326" s="3" t="n">
        <v>2847.11</v>
      </c>
      <c r="D326" s="3" t="n">
        <v/>
      </c>
      <c r="E326" s="4">
        <f>LN(C326/C325)</f>
        <v/>
      </c>
      <c r="F326" s="4">
        <f>LN(D326/D325)</f>
        <v/>
      </c>
    </row>
    <row r="327">
      <c r="A327" t="n">
        <v>326</v>
      </c>
      <c r="B327" s="2" t="n">
        <v>43688</v>
      </c>
      <c r="C327" s="3" t="n">
        <v>2888.68</v>
      </c>
      <c r="D327" s="3" t="n">
        <v/>
      </c>
      <c r="E327" s="4">
        <f>LN(C327/C326)</f>
        <v/>
      </c>
      <c r="F327" s="4">
        <f>LN(D327/D326)</f>
        <v/>
      </c>
    </row>
    <row r="328">
      <c r="A328" t="n">
        <v>327</v>
      </c>
      <c r="B328" s="2" t="n">
        <v>43681</v>
      </c>
      <c r="C328" s="3" t="n">
        <v>2918.65</v>
      </c>
      <c r="D328" s="3" t="n">
        <v/>
      </c>
      <c r="E328" s="4">
        <f>LN(C328/C327)</f>
        <v/>
      </c>
      <c r="F328" s="4">
        <f>LN(D328/D327)</f>
        <v/>
      </c>
    </row>
    <row r="329">
      <c r="A329" t="n">
        <v>328</v>
      </c>
      <c r="B329" s="2" t="n">
        <v>43674</v>
      </c>
      <c r="C329" s="3" t="n">
        <v>2932.05</v>
      </c>
      <c r="D329" s="3" t="n">
        <v/>
      </c>
      <c r="E329" s="4">
        <f>LN(C329/C328)</f>
        <v/>
      </c>
      <c r="F329" s="4">
        <f>LN(D329/D328)</f>
        <v/>
      </c>
    </row>
    <row r="330">
      <c r="A330" t="n">
        <v>329</v>
      </c>
      <c r="B330" s="2" t="n">
        <v>43667</v>
      </c>
      <c r="C330" s="3" t="n">
        <v>3025.86</v>
      </c>
      <c r="D330" s="3" t="n">
        <v/>
      </c>
      <c r="E330" s="4">
        <f>LN(C330/C329)</f>
        <v/>
      </c>
      <c r="F330" s="4">
        <f>LN(D330/D329)</f>
        <v/>
      </c>
    </row>
    <row r="331">
      <c r="A331" t="n">
        <v>330</v>
      </c>
      <c r="B331" s="2" t="n">
        <v>43660</v>
      </c>
      <c r="C331" s="3" t="n">
        <v>2976.61</v>
      </c>
      <c r="D331" s="3" t="n">
        <v/>
      </c>
      <c r="E331" s="4">
        <f>LN(C331/C330)</f>
        <v/>
      </c>
      <c r="F331" s="4">
        <f>LN(D331/D330)</f>
        <v/>
      </c>
    </row>
    <row r="332">
      <c r="A332" t="n">
        <v>331</v>
      </c>
      <c r="B332" s="2" t="n">
        <v>43653</v>
      </c>
      <c r="C332" s="3" t="n">
        <v>3013.77</v>
      </c>
      <c r="D332" s="3" t="n">
        <v/>
      </c>
      <c r="E332" s="4">
        <f>LN(C332/C331)</f>
        <v/>
      </c>
      <c r="F332" s="4">
        <f>LN(D332/D331)</f>
        <v/>
      </c>
    </row>
    <row r="333">
      <c r="A333" t="n">
        <v>332</v>
      </c>
      <c r="B333" s="2" t="n">
        <v>43646</v>
      </c>
      <c r="C333" s="3" t="n">
        <v>2990.41</v>
      </c>
      <c r="D333" s="3" t="n">
        <v/>
      </c>
      <c r="E333" s="4">
        <f>LN(C333/C332)</f>
        <v/>
      </c>
      <c r="F333" s="4">
        <f>LN(D333/D332)</f>
        <v/>
      </c>
    </row>
    <row r="334">
      <c r="A334" t="n">
        <v>333</v>
      </c>
      <c r="B334" s="2" t="n">
        <v>43639</v>
      </c>
      <c r="C334" s="3" t="n">
        <v>2941.76</v>
      </c>
      <c r="D334" s="3" t="n">
        <v/>
      </c>
      <c r="E334" s="4">
        <f>LN(C334/C333)</f>
        <v/>
      </c>
      <c r="F334" s="4">
        <f>LN(D334/D333)</f>
        <v/>
      </c>
    </row>
    <row r="335">
      <c r="A335" t="n">
        <v>334</v>
      </c>
      <c r="B335" s="2" t="n">
        <v>43632</v>
      </c>
      <c r="C335" s="3" t="n">
        <v>2950.46</v>
      </c>
      <c r="D335" s="3" t="n">
        <v/>
      </c>
      <c r="E335" s="4">
        <f>LN(C335/C334)</f>
        <v/>
      </c>
      <c r="F335" s="4">
        <f>LN(D335/D334)</f>
        <v/>
      </c>
    </row>
    <row r="336">
      <c r="A336" t="n">
        <v>335</v>
      </c>
      <c r="B336" s="2" t="n">
        <v>43625</v>
      </c>
      <c r="C336" s="3" t="n">
        <v>2886.98</v>
      </c>
      <c r="D336" s="3" t="n">
        <v/>
      </c>
      <c r="E336" s="4">
        <f>LN(C336/C335)</f>
        <v/>
      </c>
      <c r="F336" s="4">
        <f>LN(D336/D335)</f>
        <v/>
      </c>
    </row>
    <row r="337">
      <c r="A337" t="n">
        <v>336</v>
      </c>
      <c r="B337" s="2" t="n">
        <v>43618</v>
      </c>
      <c r="C337" s="3" t="n">
        <v>2873.34</v>
      </c>
      <c r="D337" s="3" t="n">
        <v/>
      </c>
      <c r="E337" s="4">
        <f>LN(C337/C336)</f>
        <v/>
      </c>
      <c r="F337" s="4">
        <f>LN(D337/D336)</f>
        <v/>
      </c>
    </row>
    <row r="338">
      <c r="A338" t="n">
        <v>337</v>
      </c>
      <c r="B338" s="2" t="n">
        <v>43611</v>
      </c>
      <c r="C338" s="3" t="n">
        <v>2752.06</v>
      </c>
      <c r="D338" s="3" t="n">
        <v/>
      </c>
      <c r="E338" s="4">
        <f>LN(C338/C337)</f>
        <v/>
      </c>
      <c r="F338" s="4">
        <f>LN(D338/D337)</f>
        <v/>
      </c>
    </row>
    <row r="339">
      <c r="A339" t="n">
        <v>338</v>
      </c>
      <c r="B339" s="2" t="n">
        <v>43604</v>
      </c>
      <c r="C339" s="3" t="n">
        <v>2826.06</v>
      </c>
      <c r="D339" s="3" t="n">
        <v/>
      </c>
      <c r="E339" s="4">
        <f>LN(C339/C338)</f>
        <v/>
      </c>
      <c r="F339" s="4">
        <f>LN(D339/D338)</f>
        <v/>
      </c>
    </row>
    <row r="340">
      <c r="A340" t="n">
        <v>339</v>
      </c>
      <c r="B340" s="2" t="n">
        <v>43597</v>
      </c>
      <c r="C340" s="3" t="n">
        <v>2859.53</v>
      </c>
      <c r="D340" s="3" t="n">
        <v/>
      </c>
      <c r="E340" s="4">
        <f>LN(C340/C339)</f>
        <v/>
      </c>
      <c r="F340" s="4">
        <f>LN(D340/D339)</f>
        <v/>
      </c>
    </row>
    <row r="341">
      <c r="A341" t="n">
        <v>340</v>
      </c>
      <c r="B341" s="2" t="n">
        <v>43590</v>
      </c>
      <c r="C341" s="3" t="n">
        <v>2881.4</v>
      </c>
      <c r="D341" s="3" t="n">
        <v/>
      </c>
      <c r="E341" s="4">
        <f>LN(C341/C340)</f>
        <v/>
      </c>
      <c r="F341" s="4">
        <f>LN(D341/D340)</f>
        <v/>
      </c>
    </row>
    <row r="342">
      <c r="A342" t="n">
        <v>341</v>
      </c>
      <c r="B342" s="2" t="n">
        <v>43583</v>
      </c>
      <c r="C342" s="3" t="n">
        <v>2945.64</v>
      </c>
      <c r="D342" s="3" t="n">
        <v/>
      </c>
      <c r="E342" s="4">
        <f>LN(C342/C341)</f>
        <v/>
      </c>
      <c r="F342" s="4">
        <f>LN(D342/D341)</f>
        <v/>
      </c>
    </row>
    <row r="343">
      <c r="A343" t="n">
        <v>342</v>
      </c>
      <c r="B343" s="2" t="n">
        <v>43576</v>
      </c>
      <c r="C343" s="3" t="n">
        <v>2939.88</v>
      </c>
      <c r="D343" s="3" t="n">
        <v/>
      </c>
      <c r="E343" s="4">
        <f>LN(C343/C342)</f>
        <v/>
      </c>
      <c r="F343" s="4">
        <f>LN(D343/D342)</f>
        <v/>
      </c>
    </row>
    <row r="344">
      <c r="A344" t="n">
        <v>343</v>
      </c>
      <c r="B344" s="2" t="n">
        <v>43569</v>
      </c>
      <c r="C344" s="3" t="n">
        <v>2905.03</v>
      </c>
      <c r="D344" s="3" t="n">
        <v/>
      </c>
      <c r="E344" s="4">
        <f>LN(C344/C343)</f>
        <v/>
      </c>
      <c r="F344" s="4">
        <f>LN(D344/D343)</f>
        <v/>
      </c>
    </row>
    <row r="345">
      <c r="A345" t="n">
        <v>344</v>
      </c>
      <c r="B345" s="2" t="n">
        <v>43562</v>
      </c>
      <c r="C345" s="3" t="n">
        <v>2907.41</v>
      </c>
      <c r="D345" s="3" t="n">
        <v/>
      </c>
      <c r="E345" s="4">
        <f>LN(C345/C344)</f>
        <v/>
      </c>
      <c r="F345" s="4">
        <f>LN(D345/D344)</f>
        <v/>
      </c>
    </row>
    <row r="346">
      <c r="A346" t="n">
        <v>345</v>
      </c>
      <c r="B346" s="2" t="n">
        <v>43555</v>
      </c>
      <c r="C346" s="3" t="n">
        <v>2892.74</v>
      </c>
      <c r="D346" s="3" t="n">
        <v/>
      </c>
      <c r="E346" s="4">
        <f>LN(C346/C345)</f>
        <v/>
      </c>
      <c r="F346" s="4">
        <f>LN(D346/D345)</f>
        <v/>
      </c>
    </row>
    <row r="347">
      <c r="A347" t="n">
        <v>346</v>
      </c>
      <c r="B347" s="2" t="n">
        <v>43548</v>
      </c>
      <c r="C347" s="3" t="n">
        <v>2834.4</v>
      </c>
      <c r="D347" s="3" t="n">
        <v/>
      </c>
      <c r="E347" s="4">
        <f>LN(C347/C346)</f>
        <v/>
      </c>
      <c r="F347" s="4">
        <f>LN(D347/D346)</f>
        <v/>
      </c>
    </row>
    <row r="348">
      <c r="A348" t="n">
        <v>347</v>
      </c>
      <c r="B348" s="2" t="n">
        <v>43541</v>
      </c>
      <c r="C348" s="3" t="n">
        <v>2800.71</v>
      </c>
      <c r="D348" s="3" t="n">
        <v/>
      </c>
      <c r="E348" s="4">
        <f>LN(C348/C347)</f>
        <v/>
      </c>
      <c r="F348" s="4">
        <f>LN(D348/D347)</f>
        <v/>
      </c>
    </row>
    <row r="349">
      <c r="A349" t="n">
        <v>348</v>
      </c>
      <c r="B349" s="2" t="n">
        <v>43534</v>
      </c>
      <c r="C349" s="3" t="n">
        <v>2822.48</v>
      </c>
      <c r="D349" s="3" t="n">
        <v/>
      </c>
      <c r="E349" s="4">
        <f>LN(C349/C348)</f>
        <v/>
      </c>
      <c r="F349" s="4">
        <f>LN(D349/D348)</f>
        <v/>
      </c>
    </row>
    <row r="350">
      <c r="A350" t="n">
        <v>349</v>
      </c>
      <c r="B350" s="2" t="n">
        <v>43527</v>
      </c>
      <c r="C350" s="3" t="n">
        <v>2743.07</v>
      </c>
      <c r="D350" s="3" t="n">
        <v/>
      </c>
      <c r="E350" s="4">
        <f>LN(C350/C349)</f>
        <v/>
      </c>
      <c r="F350" s="4">
        <f>LN(D350/D349)</f>
        <v/>
      </c>
    </row>
    <row r="351">
      <c r="A351" t="n">
        <v>350</v>
      </c>
      <c r="B351" s="2" t="n">
        <v>43520</v>
      </c>
      <c r="C351" s="3" t="n">
        <v>2803.69</v>
      </c>
      <c r="D351" s="3" t="n">
        <v/>
      </c>
      <c r="E351" s="4">
        <f>LN(C351/C350)</f>
        <v/>
      </c>
      <c r="F351" s="4">
        <f>LN(D351/D350)</f>
        <v/>
      </c>
    </row>
    <row r="352">
      <c r="A352" t="n">
        <v>351</v>
      </c>
      <c r="B352" s="2" t="n">
        <v>43513</v>
      </c>
      <c r="C352" s="3" t="n">
        <v>2792.67</v>
      </c>
      <c r="D352" s="3" t="n">
        <v/>
      </c>
      <c r="E352" s="4">
        <f>LN(C352/C351)</f>
        <v/>
      </c>
      <c r="F352" s="4">
        <f>LN(D352/D351)</f>
        <v/>
      </c>
    </row>
    <row r="353">
      <c r="A353" t="n">
        <v>352</v>
      </c>
      <c r="B353" s="2" t="n">
        <v>43506</v>
      </c>
      <c r="C353" s="3" t="n">
        <v>2775.6</v>
      </c>
      <c r="D353" s="3" t="n">
        <v/>
      </c>
      <c r="E353" s="4">
        <f>LN(C353/C352)</f>
        <v/>
      </c>
      <c r="F353" s="4">
        <f>LN(D353/D352)</f>
        <v/>
      </c>
    </row>
    <row r="354">
      <c r="A354" t="n">
        <v>353</v>
      </c>
      <c r="B354" s="2" t="n">
        <v>43499</v>
      </c>
      <c r="C354" s="3" t="n">
        <v>2707.88</v>
      </c>
      <c r="D354" s="3" t="n">
        <v/>
      </c>
      <c r="E354" s="4">
        <f>LN(C354/C353)</f>
        <v/>
      </c>
      <c r="F354" s="4">
        <f>LN(D354/D353)</f>
        <v/>
      </c>
    </row>
    <row r="355">
      <c r="A355" t="n">
        <v>354</v>
      </c>
      <c r="B355" s="2" t="n">
        <v>43492</v>
      </c>
      <c r="C355" s="3" t="n">
        <v>2706.53</v>
      </c>
      <c r="D355" s="3" t="n">
        <v/>
      </c>
      <c r="E355" s="4">
        <f>LN(C355/C354)</f>
        <v/>
      </c>
      <c r="F355" s="4">
        <f>LN(D355/D354)</f>
        <v/>
      </c>
    </row>
    <row r="356">
      <c r="A356" t="n">
        <v>355</v>
      </c>
      <c r="B356" s="2" t="n">
        <v>43485</v>
      </c>
      <c r="C356" s="3" t="n">
        <v>2664.76</v>
      </c>
      <c r="D356" s="3" t="n">
        <v/>
      </c>
      <c r="E356" s="4">
        <f>LN(C356/C355)</f>
        <v/>
      </c>
      <c r="F356" s="4">
        <f>LN(D356/D355)</f>
        <v/>
      </c>
    </row>
    <row r="357">
      <c r="A357" t="n">
        <v>356</v>
      </c>
      <c r="B357" s="2" t="n">
        <v>43478</v>
      </c>
      <c r="C357" s="3" t="n">
        <v>2670.71</v>
      </c>
      <c r="D357" s="3" t="n">
        <v/>
      </c>
      <c r="E357" s="4">
        <f>LN(C357/C356)</f>
        <v/>
      </c>
      <c r="F357" s="4">
        <f>LN(D357/D356)</f>
        <v/>
      </c>
    </row>
    <row r="358">
      <c r="A358" t="n">
        <v>357</v>
      </c>
      <c r="B358" s="2" t="n">
        <v>43471</v>
      </c>
      <c r="C358" s="3" t="n">
        <v>2596.26</v>
      </c>
      <c r="D358" s="3" t="n">
        <v/>
      </c>
      <c r="E358" s="4">
        <f>LN(C358/C357)</f>
        <v/>
      </c>
      <c r="F358" s="4">
        <f>LN(D358/D357)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5" customWidth="1" min="3" max="3"/>
  </cols>
  <sheetData>
    <row r="1">
      <c r="A1" s="5" t="inlineStr">
        <is>
          <t>(a) MEAN WEEKLY LOG RETURN</t>
        </is>
      </c>
    </row>
    <row r="2">
      <c r="A2" s="6" t="inlineStr">
        <is>
          <t>Calculation Method</t>
        </is>
      </c>
      <c r="B2" s="6" t="inlineStr">
        <is>
          <t>S&amp;P 500</t>
        </is>
      </c>
      <c r="C2" s="6" t="inlineStr">
        <is>
          <t>AAPL</t>
        </is>
      </c>
    </row>
    <row r="3">
      <c r="A3" t="inlineStr">
        <is>
          <t>Excel AVERAGE function</t>
        </is>
      </c>
      <c r="B3" s="4">
        <f>AVERAGE('Data &amp; Returns'!E3:E358)</f>
        <v/>
      </c>
      <c r="C3" s="4">
        <f>AVERAGE('Data &amp; Returns'!F3:F358)</f>
        <v/>
      </c>
    </row>
    <row r="4"/>
    <row r="5">
      <c r="A5" s="5" t="inlineStr">
        <is>
          <t>(b) VARIANCE</t>
        </is>
      </c>
    </row>
    <row r="6">
      <c r="A6" s="6" t="inlineStr">
        <is>
          <t>Calculation Method</t>
        </is>
      </c>
      <c r="B6" s="6" t="inlineStr">
        <is>
          <t>S&amp;P 500</t>
        </is>
      </c>
      <c r="C6" s="6" t="inlineStr">
        <is>
          <t>AAPL</t>
        </is>
      </c>
    </row>
    <row r="7">
      <c r="A7" t="inlineStr">
        <is>
          <t>Manual: Σ(x - mean)²/N</t>
        </is>
      </c>
      <c r="B7" s="4">
        <f>SUMPRODUCT(('Data &amp; Returns'!E3:E358-B6)^2)/COUNT('Data &amp; Returns'!E3:E358)</f>
        <v/>
      </c>
      <c r="C7" s="4">
        <f>SUMPRODUCT(('Data &amp; Returns'!F3:F358-C6)^2)/COUNT('Data &amp; Returns'!F3:F358)</f>
        <v/>
      </c>
    </row>
    <row r="8">
      <c r="A8" t="inlineStr">
        <is>
          <t>Excel VAR.P function</t>
        </is>
      </c>
      <c r="B8" s="4">
        <f>VAR.P('Data &amp; Returns'!E3:E358)</f>
        <v/>
      </c>
      <c r="C8" s="4">
        <f>VAR.P('Data &amp; Returns'!F3:F358)</f>
        <v/>
      </c>
    </row>
    <row r="9">
      <c r="A9" t="inlineStr">
        <is>
          <t>Difference (should be ≈0)</t>
        </is>
      </c>
      <c r="B9" s="7">
        <f>ABS(B7-B8)</f>
        <v/>
      </c>
      <c r="C9" s="7">
        <f>ABS(C7-C8)</f>
        <v/>
      </c>
    </row>
    <row r="10"/>
    <row r="11">
      <c r="A11" s="5" t="inlineStr">
        <is>
          <t>(c) STANDARD DEVIATION</t>
        </is>
      </c>
    </row>
    <row r="12">
      <c r="A12" s="6" t="inlineStr">
        <is>
          <t>Calculation Method</t>
        </is>
      </c>
      <c r="B12" s="6" t="inlineStr">
        <is>
          <t>S&amp;P 500</t>
        </is>
      </c>
      <c r="C12" s="6" t="inlineStr">
        <is>
          <t>AAPL</t>
        </is>
      </c>
    </row>
    <row r="13">
      <c r="A13" t="inlineStr">
        <is>
          <t>Manual: SQRT(Variance)</t>
        </is>
      </c>
      <c r="B13" s="4">
        <f>SQRT(B9)</f>
        <v/>
      </c>
      <c r="C13" s="4">
        <f>SQRT(C9)</f>
        <v/>
      </c>
    </row>
    <row r="14">
      <c r="A14" t="inlineStr">
        <is>
          <t>Excel STDEV.P function</t>
        </is>
      </c>
      <c r="B14" s="4">
        <f>STDEV.P('Data &amp; Returns'!E3:E358)</f>
        <v/>
      </c>
      <c r="C14" s="4">
        <f>STDEV.P('Data &amp; Returns'!F3:F358)</f>
        <v/>
      </c>
    </row>
    <row r="15">
      <c r="A15" t="inlineStr">
        <is>
          <t>Difference (should be ≈0)</t>
        </is>
      </c>
      <c r="B15" s="7">
        <f>ABS(B13-B14)</f>
        <v/>
      </c>
      <c r="C15" s="7">
        <f>ABS(C13-C14)</f>
        <v/>
      </c>
    </row>
    <row r="16"/>
    <row r="17">
      <c r="A17" s="5" t="inlineStr">
        <is>
          <t>(e) SKEWNESS AND KURTOSIS</t>
        </is>
      </c>
    </row>
    <row r="18">
      <c r="A18" s="6" t="inlineStr">
        <is>
          <t>Calculation Method</t>
        </is>
      </c>
      <c r="B18" s="6" t="inlineStr">
        <is>
          <t>S&amp;P 500</t>
        </is>
      </c>
      <c r="C18" s="6" t="inlineStr">
        <is>
          <t>AAPL</t>
        </is>
      </c>
    </row>
    <row r="19">
      <c r="A19" t="inlineStr">
        <is>
          <t>Skewness (Excel SKEW)</t>
        </is>
      </c>
      <c r="B19" s="4">
        <f>SKEW('Data &amp; Returns'!E3:E358)</f>
        <v/>
      </c>
      <c r="C19" s="4">
        <f>SKEW('Data &amp; Returns'!F3:F358)</f>
        <v/>
      </c>
    </row>
    <row r="20">
      <c r="A20" t="inlineStr">
        <is>
          <t>Kurtosis (Excel KURT)</t>
        </is>
      </c>
      <c r="B20" s="4">
        <f>KURT('Data &amp; Returns'!E3:E358)</f>
        <v/>
      </c>
      <c r="C20" s="4">
        <f>KURT('Data &amp; Returns'!F3:F358)</f>
        <v/>
      </c>
    </row>
    <row r="21"/>
    <row r="22">
      <c r="A22" s="5" t="inlineStr">
        <is>
          <t>(f) WEEKS MOVING TOGETHER/APART</t>
        </is>
      </c>
    </row>
    <row r="23">
      <c r="A23" s="6" t="inlineStr">
        <is>
          <t>Movement Pattern</t>
        </is>
      </c>
      <c r="B23" s="6" t="inlineStr">
        <is>
          <t>Count</t>
        </is>
      </c>
      <c r="C23" s="6" t="inlineStr">
        <is>
          <t>Proportion</t>
        </is>
      </c>
    </row>
    <row r="24">
      <c r="A24" t="inlineStr">
        <is>
          <t>Weeks moving together (same sign)</t>
        </is>
      </c>
      <c r="B24" s="4">
        <f>SUMPRODUCT((SIGN('Data &amp; Returns'!E3:E358)=SIGN('Data &amp; Returns'!F3:F358))*1)</f>
        <v/>
      </c>
      <c r="C24" s="4">
        <f>B24/COUNT('Data &amp; Returns'!E3:E358)</f>
        <v/>
      </c>
    </row>
    <row r="25">
      <c r="A25" t="inlineStr">
        <is>
          <t>Weeks moving apart (opposite sign)</t>
        </is>
      </c>
      <c r="B25" s="4">
        <f>SUMPRODUCT((SIGN('Data &amp; Returns'!E3:E358)&lt;&gt;SIGN('Data &amp; Returns'!F3:F358))*1)</f>
        <v/>
      </c>
      <c r="C25" s="4">
        <f>B25/COUNT('Data &amp; Returns'!E3:E358)</f>
        <v/>
      </c>
    </row>
    <row r="26"/>
    <row r="27">
      <c r="A27" s="5" t="inlineStr">
        <is>
          <t>(g) COVARIANCE</t>
        </is>
      </c>
    </row>
    <row r="28">
      <c r="A28" t="inlineStr">
        <is>
          <t>Calculation Method</t>
        </is>
      </c>
      <c r="B28" s="6" t="inlineStr">
        <is>
          <t>Value</t>
        </is>
      </c>
    </row>
    <row r="29">
      <c r="A29" t="inlineStr">
        <is>
          <t>Manual: Σ(x-mean_x)(y-mean_y)/N</t>
        </is>
      </c>
      <c r="B29" s="4">
        <f>SUMPRODUCT(('Data &amp; Returns'!E3:E358-B6),('Data &amp; Returns'!F3:F358-C6))/COUNT('Data &amp; Returns'!E3:E358)</f>
        <v/>
      </c>
    </row>
    <row r="30">
      <c r="A30" t="inlineStr">
        <is>
          <t>Excel COVARIANCE.P function</t>
        </is>
      </c>
      <c r="B30" s="4">
        <f>COVARIANCE.P('Data &amp; Returns'!E3:E358,'Data &amp; Returns'!F3:F358)</f>
        <v/>
      </c>
    </row>
    <row r="31">
      <c r="A31" t="inlineStr">
        <is>
          <t>Difference (should be ≈0)</t>
        </is>
      </c>
      <c r="B31" s="7">
        <f>ABS(B29-B30)</f>
        <v/>
      </c>
    </row>
    <row r="32"/>
    <row r="33">
      <c r="A33" s="5" t="inlineStr">
        <is>
          <t>(h) CORRELATION</t>
        </is>
      </c>
    </row>
    <row r="34">
      <c r="A34" t="inlineStr">
        <is>
          <t>Calculation Method</t>
        </is>
      </c>
      <c r="B34" s="6" t="inlineStr">
        <is>
          <t>Value</t>
        </is>
      </c>
    </row>
    <row r="35">
      <c r="A35" t="inlineStr">
        <is>
          <t>Manual: Cov(x,y)/(StdDev_x × StdDev_y)</t>
        </is>
      </c>
      <c r="B35" s="4">
        <f>B25/(B18*C18)</f>
        <v/>
      </c>
    </row>
    <row r="36">
      <c r="A36" t="inlineStr">
        <is>
          <t>Excel CORREL function</t>
        </is>
      </c>
      <c r="B36" s="4">
        <f>CORREL('Data &amp; Returns'!E3:E358,'Data &amp; Returns'!F3:F358)</f>
        <v/>
      </c>
    </row>
    <row r="37">
      <c r="A37" t="inlineStr">
        <is>
          <t>Difference (should be ≈0)</t>
        </is>
      </c>
      <c r="B37" s="7">
        <f>ABS(B35-B36)</f>
        <v/>
      </c>
    </row>
    <row r="38"/>
    <row r="39">
      <c r="A39" s="5" t="inlineStr">
        <is>
          <t>(j) REGRESSION STATISTICS (AAPL vs S&amp;P 500)</t>
        </is>
      </c>
    </row>
    <row r="40">
      <c r="A40" s="6" t="inlineStr">
        <is>
          <t>Statistic</t>
        </is>
      </c>
      <c r="B40" s="6" t="inlineStr">
        <is>
          <t>Value</t>
        </is>
      </c>
      <c r="C40" s="6" t="inlineStr">
        <is>
          <t>Excel Function Used</t>
        </is>
      </c>
    </row>
    <row r="41">
      <c r="A41" t="inlineStr">
        <is>
          <t>Slope (Beta)</t>
        </is>
      </c>
      <c r="B41" s="4">
        <f>SLOPE('Data &amp; Returns'!F3:F358,'Data &amp; Returns'!E3:E358)</f>
        <v/>
      </c>
      <c r="C41" t="inlineStr">
        <is>
          <t>SLOPE(y_range, x_range)</t>
        </is>
      </c>
    </row>
    <row r="42">
      <c r="A42" t="inlineStr">
        <is>
          <t>Intercept (Alpha)</t>
        </is>
      </c>
      <c r="B42" s="4">
        <f>INTERCEPT('Data &amp; Returns'!F3:F358,'Data &amp; Returns'!E3:E358)</f>
        <v/>
      </c>
      <c r="C42" t="inlineStr">
        <is>
          <t>INTERCEPT(y_range, x_range)</t>
        </is>
      </c>
    </row>
    <row r="43">
      <c r="A43" t="inlineStr">
        <is>
          <t>R-Square</t>
        </is>
      </c>
      <c r="B43" s="4">
        <f>RSQ('Data &amp; Returns'!F3:F358,'Data &amp; Returns'!E3:E358)</f>
        <v/>
      </c>
      <c r="C43" t="inlineStr">
        <is>
          <t>RSQ(y_range, x_range)</t>
        </is>
      </c>
    </row>
    <row r="44">
      <c r="A44" t="inlineStr">
        <is>
          <t>Verification: R² = Correlation²</t>
        </is>
      </c>
      <c r="B44" s="7">
        <f>B43-B33^2</f>
        <v/>
      </c>
      <c r="C44" t="inlineStr">
        <is>
          <t>Should be ≈0</t>
        </is>
      </c>
    </row>
  </sheetData>
  <mergeCells count="8">
    <mergeCell ref="A33:C33"/>
    <mergeCell ref="A11:C11"/>
    <mergeCell ref="A1:C1"/>
    <mergeCell ref="A5:C5"/>
    <mergeCell ref="A22:C22"/>
    <mergeCell ref="A17:C17"/>
    <mergeCell ref="A27:C27"/>
    <mergeCell ref="A39:C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8" t="inlineStr">
        <is>
          <t>S&amp;P 500 RETURNS HISTOGRAM</t>
        </is>
      </c>
    </row>
    <row r="2">
      <c r="A2" s="6" t="inlineStr">
        <is>
          <t>Bin (Upper Limit)</t>
        </is>
      </c>
      <c r="B2" s="6" t="inlineStr">
        <is>
          <t>Frequency</t>
        </is>
      </c>
    </row>
    <row r="3">
      <c r="A3" s="9" t="n">
        <v>-0.15</v>
      </c>
      <c r="B3">
        <f>COUNTIF('Data &amp; Returns'!E3:E358,"&lt;="&amp;A3)</f>
        <v/>
      </c>
    </row>
    <row r="4">
      <c r="A4" s="9" t="n">
        <v>-0.14</v>
      </c>
      <c r="B4">
        <f>COUNTIFS('Data &amp; Returns'!E3:E358,"&gt;"&amp;A3,'Data &amp; Returns'!E3:E358,"&lt;="&amp;A4)</f>
        <v/>
      </c>
    </row>
    <row r="5">
      <c r="A5" s="9" t="n">
        <v>-0.13</v>
      </c>
      <c r="B5">
        <f>COUNTIFS('Data &amp; Returns'!E3:E358,"&gt;"&amp;A4,'Data &amp; Returns'!E3:E358,"&lt;="&amp;A5)</f>
        <v/>
      </c>
    </row>
    <row r="6">
      <c r="A6" s="9" t="n">
        <v>-0.12</v>
      </c>
      <c r="B6">
        <f>COUNTIFS('Data &amp; Returns'!E3:E358,"&gt;"&amp;A5,'Data &amp; Returns'!E3:E358,"&lt;="&amp;A6)</f>
        <v/>
      </c>
    </row>
    <row r="7">
      <c r="A7" s="9" t="n">
        <v>-0.11</v>
      </c>
      <c r="B7">
        <f>COUNTIFS('Data &amp; Returns'!E3:E358,"&gt;"&amp;A6,'Data &amp; Returns'!E3:E358,"&lt;="&amp;A7)</f>
        <v/>
      </c>
    </row>
    <row r="8">
      <c r="A8" s="9" t="n">
        <v>-0.09999999999999995</v>
      </c>
      <c r="B8">
        <f>COUNTIFS('Data &amp; Returns'!E3:E358,"&gt;"&amp;A7,'Data &amp; Returns'!E3:E358,"&lt;="&amp;A8)</f>
        <v/>
      </c>
    </row>
    <row r="9">
      <c r="A9" s="9" t="n">
        <v>-0.08999999999999994</v>
      </c>
      <c r="B9">
        <f>COUNTIFS('Data &amp; Returns'!E3:E358,"&gt;"&amp;A8,'Data &amp; Returns'!E3:E358,"&lt;="&amp;A9)</f>
        <v/>
      </c>
    </row>
    <row r="10">
      <c r="A10" s="9" t="n">
        <v>-0.07999999999999993</v>
      </c>
      <c r="B10">
        <f>COUNTIFS('Data &amp; Returns'!E3:E358,"&gt;"&amp;A9,'Data &amp; Returns'!E3:E358,"&lt;="&amp;A10)</f>
        <v/>
      </c>
    </row>
    <row r="11">
      <c r="A11" s="9" t="n">
        <v>-0.06999999999999992</v>
      </c>
      <c r="B11">
        <f>COUNTIFS('Data &amp; Returns'!E3:E358,"&gt;"&amp;A10,'Data &amp; Returns'!E3:E358,"&lt;="&amp;A11)</f>
        <v/>
      </c>
    </row>
    <row r="12">
      <c r="A12" s="9" t="n">
        <v>-0.05999999999999991</v>
      </c>
      <c r="B12">
        <f>COUNTIFS('Data &amp; Returns'!E3:E358,"&gt;"&amp;A11,'Data &amp; Returns'!E3:E358,"&lt;="&amp;A12)</f>
        <v/>
      </c>
    </row>
    <row r="13">
      <c r="A13" s="9" t="n">
        <v>-0.04999999999999991</v>
      </c>
      <c r="B13">
        <f>COUNTIFS('Data &amp; Returns'!E3:E358,"&gt;"&amp;A12,'Data &amp; Returns'!E3:E358,"&lt;="&amp;A13)</f>
        <v/>
      </c>
    </row>
    <row r="14">
      <c r="A14" s="9" t="n">
        <v>-0.0399999999999999</v>
      </c>
      <c r="B14">
        <f>COUNTIFS('Data &amp; Returns'!E3:E358,"&gt;"&amp;A13,'Data &amp; Returns'!E3:E358,"&lt;="&amp;A14)</f>
        <v/>
      </c>
    </row>
    <row r="15">
      <c r="A15" s="9" t="n">
        <v>-0.02999999999999989</v>
      </c>
      <c r="B15">
        <f>COUNTIFS('Data &amp; Returns'!E3:E358,"&gt;"&amp;A14,'Data &amp; Returns'!E3:E358,"&lt;="&amp;A15)</f>
        <v/>
      </c>
    </row>
    <row r="16">
      <c r="A16" s="9" t="n">
        <v>-0.01999999999999988</v>
      </c>
      <c r="B16">
        <f>COUNTIFS('Data &amp; Returns'!E3:E358,"&gt;"&amp;A15,'Data &amp; Returns'!E3:E358,"&lt;="&amp;A16)</f>
        <v/>
      </c>
    </row>
    <row r="17">
      <c r="A17" s="9" t="n">
        <v>-0.00999999999999987</v>
      </c>
      <c r="B17">
        <f>COUNTIFS('Data &amp; Returns'!E3:E358,"&gt;"&amp;A16,'Data &amp; Returns'!E3:E358,"&lt;="&amp;A17)</f>
        <v/>
      </c>
    </row>
    <row r="18">
      <c r="A18" s="9" t="n">
        <v>1.387778780781446e-16</v>
      </c>
      <c r="B18">
        <f>COUNTIFS('Data &amp; Returns'!E3:E358,"&gt;"&amp;A17,'Data &amp; Returns'!E3:E358,"&lt;="&amp;A18)</f>
        <v/>
      </c>
    </row>
    <row r="19">
      <c r="A19" s="9" t="n">
        <v>0.01000000000000015</v>
      </c>
      <c r="B19">
        <f>COUNTIFS('Data &amp; Returns'!E3:E358,"&gt;"&amp;A18,'Data &amp; Returns'!E3:E358,"&lt;="&amp;A19)</f>
        <v/>
      </c>
    </row>
    <row r="20">
      <c r="A20" s="9" t="n">
        <v>0.02000000000000016</v>
      </c>
      <c r="B20">
        <f>COUNTIFS('Data &amp; Returns'!E3:E358,"&gt;"&amp;A19,'Data &amp; Returns'!E3:E358,"&lt;="&amp;A20)</f>
        <v/>
      </c>
    </row>
    <row r="21">
      <c r="A21" s="9" t="n">
        <v>0.03000000000000017</v>
      </c>
      <c r="B21">
        <f>COUNTIFS('Data &amp; Returns'!E3:E358,"&gt;"&amp;A20,'Data &amp; Returns'!E3:E358,"&lt;="&amp;A21)</f>
        <v/>
      </c>
    </row>
    <row r="22">
      <c r="A22" s="9" t="n">
        <v>0.04000000000000017</v>
      </c>
      <c r="B22">
        <f>COUNTIFS('Data &amp; Returns'!E3:E358,"&gt;"&amp;A21,'Data &amp; Returns'!E3:E358,"&lt;="&amp;A22)</f>
        <v/>
      </c>
    </row>
    <row r="23">
      <c r="A23" s="9" t="n">
        <v>0.05000000000000018</v>
      </c>
      <c r="B23">
        <f>COUNTIFS('Data &amp; Returns'!E3:E358,"&gt;"&amp;A22,'Data &amp; Returns'!E3:E358,"&lt;="&amp;A23)</f>
        <v/>
      </c>
    </row>
    <row r="24">
      <c r="A24" s="9" t="n">
        <v>0.06000000000000019</v>
      </c>
      <c r="B24">
        <f>COUNTIFS('Data &amp; Returns'!E3:E358,"&gt;"&amp;A23,'Data &amp; Returns'!E3:E358,"&lt;="&amp;A24)</f>
        <v/>
      </c>
    </row>
    <row r="25">
      <c r="A25" s="9" t="n">
        <v>0.0700000000000002</v>
      </c>
      <c r="B25">
        <f>COUNTIFS('Data &amp; Returns'!E3:E358,"&gt;"&amp;A24,'Data &amp; Returns'!E3:E358,"&lt;="&amp;A25)</f>
        <v/>
      </c>
    </row>
    <row r="26">
      <c r="A26" s="9" t="n">
        <v>0.08000000000000021</v>
      </c>
      <c r="B26">
        <f>COUNTIFS('Data &amp; Returns'!E3:E358,"&gt;"&amp;A25,'Data &amp; Returns'!E3:E358,"&lt;="&amp;A26)</f>
        <v/>
      </c>
    </row>
    <row r="27">
      <c r="A27" s="9" t="n">
        <v>0.09000000000000022</v>
      </c>
      <c r="B27">
        <f>COUNTIFS('Data &amp; Returns'!E3:E358,"&gt;"&amp;A26,'Data &amp; Returns'!E3:E358,"&lt;="&amp;A27)</f>
        <v/>
      </c>
    </row>
    <row r="28">
      <c r="A28" s="9" t="n">
        <v>0.1000000000000002</v>
      </c>
      <c r="B28">
        <f>COUNTIFS('Data &amp; Returns'!E3:E358,"&gt;"&amp;A27,'Data &amp; Returns'!E3:E358,"&lt;="&amp;A28)</f>
        <v/>
      </c>
    </row>
    <row r="29">
      <c r="A29" s="9" t="n">
        <v>0.1100000000000002</v>
      </c>
      <c r="B29">
        <f>COUNTIFS('Data &amp; Returns'!E3:E358,"&gt;"&amp;A28,'Data &amp; Returns'!E3:E358,"&lt;="&amp;A29)</f>
        <v/>
      </c>
    </row>
    <row r="30">
      <c r="A30" s="9" t="n">
        <v>0.1200000000000002</v>
      </c>
      <c r="B30">
        <f>COUNTIFS('Data &amp; Returns'!E3:E358,"&gt;"&amp;A29,'Data &amp; Returns'!E3:E358,"&lt;="&amp;A30)</f>
        <v/>
      </c>
    </row>
    <row r="31">
      <c r="A31" s="9" t="n">
        <v>0.1300000000000003</v>
      </c>
      <c r="B31">
        <f>COUNTIFS('Data &amp; Returns'!E3:E358,"&gt;"&amp;A30,'Data &amp; Returns'!E3:E358,"&lt;="&amp;A31)</f>
        <v/>
      </c>
    </row>
    <row r="32">
      <c r="A32" s="9" t="n">
        <v>0.1400000000000003</v>
      </c>
      <c r="B32">
        <f>COUNTIFS('Data &amp; Returns'!E3:E358,"&gt;"&amp;A31,'Data &amp; Returns'!E3:E358,"&lt;="&amp;A32)</f>
        <v/>
      </c>
    </row>
    <row r="33">
      <c r="A33" s="9" t="n">
        <v>0.1500000000000003</v>
      </c>
      <c r="B33">
        <f>COUNTIFS('Data &amp; Returns'!E3:E358,"&gt;"&amp;A32,'Data &amp; Returns'!E3:E358,"&lt;="&amp;A33)</f>
        <v/>
      </c>
    </row>
    <row r="36">
      <c r="A36" s="8" t="inlineStr">
        <is>
          <t>AAPL RETURNS HISTOGRAM</t>
        </is>
      </c>
    </row>
    <row r="37">
      <c r="A37" s="6" t="inlineStr">
        <is>
          <t>Bin (Upper Limit)</t>
        </is>
      </c>
      <c r="B37" s="6" t="inlineStr">
        <is>
          <t>Frequency</t>
        </is>
      </c>
    </row>
    <row r="38">
      <c r="A38" s="9" t="n">
        <v>-0.2</v>
      </c>
      <c r="B38">
        <f>COUNTIF('Data &amp; Returns'!F3:F358,"&lt;="&amp;A38)</f>
        <v/>
      </c>
    </row>
    <row r="39">
      <c r="A39" s="9" t="n">
        <v>-0.19</v>
      </c>
      <c r="B39">
        <f>COUNTIFS('Data &amp; Returns'!F3:F358,"&gt;"&amp;A38,'Data &amp; Returns'!F3:F358,"&lt;="&amp;A39)</f>
        <v/>
      </c>
    </row>
    <row r="40">
      <c r="A40" s="9" t="n">
        <v>-0.18</v>
      </c>
      <c r="B40">
        <f>COUNTIFS('Data &amp; Returns'!F3:F358,"&gt;"&amp;A39,'Data &amp; Returns'!F3:F358,"&lt;="&amp;A40)</f>
        <v/>
      </c>
    </row>
    <row r="41">
      <c r="A41" s="9" t="n">
        <v>-0.17</v>
      </c>
      <c r="B41">
        <f>COUNTIFS('Data &amp; Returns'!F3:F358,"&gt;"&amp;A40,'Data &amp; Returns'!F3:F358,"&lt;="&amp;A41)</f>
        <v/>
      </c>
    </row>
    <row r="42">
      <c r="A42" s="9" t="n">
        <v>-0.16</v>
      </c>
      <c r="B42">
        <f>COUNTIFS('Data &amp; Returns'!F3:F358,"&gt;"&amp;A41,'Data &amp; Returns'!F3:F358,"&lt;="&amp;A42)</f>
        <v/>
      </c>
    </row>
    <row r="43">
      <c r="A43" s="9" t="n">
        <v>-0.15</v>
      </c>
      <c r="B43">
        <f>COUNTIFS('Data &amp; Returns'!F3:F358,"&gt;"&amp;A42,'Data &amp; Returns'!F3:F358,"&lt;="&amp;A43)</f>
        <v/>
      </c>
    </row>
    <row r="44">
      <c r="A44" s="9" t="n">
        <v>-0.14</v>
      </c>
      <c r="B44">
        <f>COUNTIFS('Data &amp; Returns'!F3:F358,"&gt;"&amp;A43,'Data &amp; Returns'!F3:F358,"&lt;="&amp;A44)</f>
        <v/>
      </c>
    </row>
    <row r="45">
      <c r="A45" s="9" t="n">
        <v>-0.1299999999999999</v>
      </c>
      <c r="B45">
        <f>COUNTIFS('Data &amp; Returns'!F3:F358,"&gt;"&amp;A44,'Data &amp; Returns'!F3:F358,"&lt;="&amp;A45)</f>
        <v/>
      </c>
    </row>
    <row r="46">
      <c r="A46" s="9" t="n">
        <v>-0.1199999999999999</v>
      </c>
      <c r="B46">
        <f>COUNTIFS('Data &amp; Returns'!F3:F358,"&gt;"&amp;A45,'Data &amp; Returns'!F3:F358,"&lt;="&amp;A46)</f>
        <v/>
      </c>
    </row>
    <row r="47">
      <c r="A47" s="9" t="n">
        <v>-0.1099999999999999</v>
      </c>
      <c r="B47">
        <f>COUNTIFS('Data &amp; Returns'!F3:F358,"&gt;"&amp;A46,'Data &amp; Returns'!F3:F358,"&lt;="&amp;A47)</f>
        <v/>
      </c>
    </row>
    <row r="48">
      <c r="A48" s="9" t="n">
        <v>-0.09999999999999992</v>
      </c>
      <c r="B48">
        <f>COUNTIFS('Data &amp; Returns'!F3:F358,"&gt;"&amp;A47,'Data &amp; Returns'!F3:F358,"&lt;="&amp;A48)</f>
        <v/>
      </c>
    </row>
    <row r="49">
      <c r="A49" s="9" t="n">
        <v>-0.08999999999999991</v>
      </c>
      <c r="B49">
        <f>COUNTIFS('Data &amp; Returns'!F3:F358,"&gt;"&amp;A48,'Data &amp; Returns'!F3:F358,"&lt;="&amp;A49)</f>
        <v/>
      </c>
    </row>
    <row r="50">
      <c r="A50" s="9" t="n">
        <v>-0.0799999999999999</v>
      </c>
      <c r="B50">
        <f>COUNTIFS('Data &amp; Returns'!F3:F358,"&gt;"&amp;A49,'Data &amp; Returns'!F3:F358,"&lt;="&amp;A50)</f>
        <v/>
      </c>
    </row>
    <row r="51">
      <c r="A51" s="9" t="n">
        <v>-0.0699999999999999</v>
      </c>
      <c r="B51">
        <f>COUNTIFS('Data &amp; Returns'!F3:F358,"&gt;"&amp;A50,'Data &amp; Returns'!F3:F358,"&lt;="&amp;A51)</f>
        <v/>
      </c>
    </row>
    <row r="52">
      <c r="A52" s="9" t="n">
        <v>-0.05999999999999989</v>
      </c>
      <c r="B52">
        <f>COUNTIFS('Data &amp; Returns'!F3:F358,"&gt;"&amp;A51,'Data &amp; Returns'!F3:F358,"&lt;="&amp;A52)</f>
        <v/>
      </c>
    </row>
    <row r="53">
      <c r="A53" s="9" t="n">
        <v>-0.04999999999999988</v>
      </c>
      <c r="B53">
        <f>COUNTIFS('Data &amp; Returns'!F3:F358,"&gt;"&amp;A52,'Data &amp; Returns'!F3:F358,"&lt;="&amp;A53)</f>
        <v/>
      </c>
    </row>
    <row r="54">
      <c r="A54" s="9" t="n">
        <v>-0.03999999999999987</v>
      </c>
      <c r="B54">
        <f>COUNTIFS('Data &amp; Returns'!F3:F358,"&gt;"&amp;A53,'Data &amp; Returns'!F3:F358,"&lt;="&amp;A54)</f>
        <v/>
      </c>
    </row>
    <row r="55">
      <c r="A55" s="9" t="n">
        <v>-0.02999999999999986</v>
      </c>
      <c r="B55">
        <f>COUNTIFS('Data &amp; Returns'!F3:F358,"&gt;"&amp;A54,'Data &amp; Returns'!F3:F358,"&lt;="&amp;A55)</f>
        <v/>
      </c>
    </row>
    <row r="56">
      <c r="A56" s="9" t="n">
        <v>-0.01999999999999985</v>
      </c>
      <c r="B56">
        <f>COUNTIFS('Data &amp; Returns'!F3:F358,"&gt;"&amp;A55,'Data &amp; Returns'!F3:F358,"&lt;="&amp;A56)</f>
        <v/>
      </c>
    </row>
    <row r="57">
      <c r="A57" s="9" t="n">
        <v>-0.009999999999999842</v>
      </c>
      <c r="B57">
        <f>COUNTIFS('Data &amp; Returns'!F3:F358,"&gt;"&amp;A56,'Data &amp; Returns'!F3:F358,"&lt;="&amp;A57)</f>
        <v/>
      </c>
    </row>
    <row r="58">
      <c r="A58" s="9" t="n">
        <v>1.665334536937735e-16</v>
      </c>
      <c r="B58">
        <f>COUNTIFS('Data &amp; Returns'!F3:F358,"&gt;"&amp;A57,'Data &amp; Returns'!F3:F358,"&lt;="&amp;A58)</f>
        <v/>
      </c>
    </row>
    <row r="59">
      <c r="A59" s="9" t="n">
        <v>0.01000000000000018</v>
      </c>
      <c r="B59">
        <f>COUNTIFS('Data &amp; Returns'!F3:F358,"&gt;"&amp;A58,'Data &amp; Returns'!F3:F358,"&lt;="&amp;A59)</f>
        <v/>
      </c>
    </row>
    <row r="60">
      <c r="A60" s="9" t="n">
        <v>0.02000000000000018</v>
      </c>
      <c r="B60">
        <f>COUNTIFS('Data &amp; Returns'!F3:F358,"&gt;"&amp;A59,'Data &amp; Returns'!F3:F358,"&lt;="&amp;A60)</f>
        <v/>
      </c>
    </row>
    <row r="61">
      <c r="A61" s="9" t="n">
        <v>0.03000000000000019</v>
      </c>
      <c r="B61">
        <f>COUNTIFS('Data &amp; Returns'!F3:F358,"&gt;"&amp;A60,'Data &amp; Returns'!F3:F358,"&lt;="&amp;A61)</f>
        <v/>
      </c>
    </row>
    <row r="62">
      <c r="A62" s="9" t="n">
        <v>0.0400000000000002</v>
      </c>
      <c r="B62">
        <f>COUNTIFS('Data &amp; Returns'!F3:F358,"&gt;"&amp;A61,'Data &amp; Returns'!F3:F358,"&lt;="&amp;A62)</f>
        <v/>
      </c>
    </row>
    <row r="63">
      <c r="A63" s="9" t="n">
        <v>0.05000000000000021</v>
      </c>
      <c r="B63">
        <f>COUNTIFS('Data &amp; Returns'!F3:F358,"&gt;"&amp;A62,'Data &amp; Returns'!F3:F358,"&lt;="&amp;A63)</f>
        <v/>
      </c>
    </row>
    <row r="64">
      <c r="A64" s="9" t="n">
        <v>0.06000000000000022</v>
      </c>
      <c r="B64">
        <f>COUNTIFS('Data &amp; Returns'!F3:F358,"&gt;"&amp;A63,'Data &amp; Returns'!F3:F358,"&lt;="&amp;A64)</f>
        <v/>
      </c>
    </row>
    <row r="65">
      <c r="A65" s="9" t="n">
        <v>0.07000000000000023</v>
      </c>
      <c r="B65">
        <f>COUNTIFS('Data &amp; Returns'!F3:F358,"&gt;"&amp;A64,'Data &amp; Returns'!F3:F358,"&lt;="&amp;A65)</f>
        <v/>
      </c>
    </row>
    <row r="66">
      <c r="A66" s="9" t="n">
        <v>0.08000000000000024</v>
      </c>
      <c r="B66">
        <f>COUNTIFS('Data &amp; Returns'!F3:F358,"&gt;"&amp;A65,'Data &amp; Returns'!F3:F358,"&lt;="&amp;A66)</f>
        <v/>
      </c>
    </row>
    <row r="67">
      <c r="A67" s="9" t="n">
        <v>0.09000000000000025</v>
      </c>
      <c r="B67">
        <f>COUNTIFS('Data &amp; Returns'!F3:F358,"&gt;"&amp;A66,'Data &amp; Returns'!F3:F358,"&lt;="&amp;A67)</f>
        <v/>
      </c>
    </row>
    <row r="68">
      <c r="A68" s="9" t="n">
        <v>0.1000000000000003</v>
      </c>
      <c r="B68">
        <f>COUNTIFS('Data &amp; Returns'!F3:F358,"&gt;"&amp;A67,'Data &amp; Returns'!F3:F358,"&lt;="&amp;A68)</f>
        <v/>
      </c>
    </row>
    <row r="69">
      <c r="A69" s="9" t="n">
        <v>0.1100000000000003</v>
      </c>
      <c r="B69">
        <f>COUNTIFS('Data &amp; Returns'!F3:F358,"&gt;"&amp;A68,'Data &amp; Returns'!F3:F358,"&lt;="&amp;A69)</f>
        <v/>
      </c>
    </row>
    <row r="70">
      <c r="A70" s="9" t="n">
        <v>0.1200000000000003</v>
      </c>
      <c r="B70">
        <f>COUNTIFS('Data &amp; Returns'!F3:F358,"&gt;"&amp;A69,'Data &amp; Returns'!F3:F358,"&lt;="&amp;A70)</f>
        <v/>
      </c>
    </row>
    <row r="71">
      <c r="A71" s="9" t="n">
        <v>0.1300000000000003</v>
      </c>
      <c r="B71">
        <f>COUNTIFS('Data &amp; Returns'!F3:F358,"&gt;"&amp;A70,'Data &amp; Returns'!F3:F358,"&lt;="&amp;A71)</f>
        <v/>
      </c>
    </row>
    <row r="72">
      <c r="A72" s="9" t="n">
        <v>0.1400000000000003</v>
      </c>
      <c r="B72">
        <f>COUNTIFS('Data &amp; Returns'!F3:F358,"&gt;"&amp;A71,'Data &amp; Returns'!F3:F358,"&lt;="&amp;A72)</f>
        <v/>
      </c>
    </row>
    <row r="73">
      <c r="A73" s="9" t="n">
        <v>0.1500000000000003</v>
      </c>
      <c r="B73">
        <f>COUNTIFS('Data &amp; Returns'!F3:F358,"&gt;"&amp;A72,'Data &amp; Returns'!F3:F358,"&lt;="&amp;A73)</f>
        <v/>
      </c>
    </row>
    <row r="74">
      <c r="A74" s="9" t="n">
        <v>0.1600000000000003</v>
      </c>
      <c r="B74">
        <f>COUNTIFS('Data &amp; Returns'!F3:F358,"&gt;"&amp;A73,'Data &amp; Returns'!F3:F358,"&lt;="&amp;A74)</f>
        <v/>
      </c>
    </row>
    <row r="75">
      <c r="A75" s="9" t="n">
        <v>0.1700000000000003</v>
      </c>
      <c r="B75">
        <f>COUNTIFS('Data &amp; Returns'!F3:F358,"&gt;"&amp;A74,'Data &amp; Returns'!F3:F358,"&lt;="&amp;A75)</f>
        <v/>
      </c>
    </row>
    <row r="76">
      <c r="A76" s="9" t="n">
        <v>0.1800000000000003</v>
      </c>
      <c r="B76">
        <f>COUNTIFS('Data &amp; Returns'!F3:F358,"&gt;"&amp;A75,'Data &amp; Returns'!F3:F358,"&lt;="&amp;A76)</f>
        <v/>
      </c>
    </row>
    <row r="77">
      <c r="A77" s="9" t="n">
        <v>0.1900000000000003</v>
      </c>
      <c r="B77">
        <f>COUNTIFS('Data &amp; Returns'!F3:F358,"&gt;"&amp;A76,'Data &amp; Returns'!F3:F358,"&lt;="&amp;A77)</f>
        <v/>
      </c>
    </row>
    <row r="78">
      <c r="A78" s="9" t="n">
        <v>0.2000000000000003</v>
      </c>
      <c r="B78">
        <f>COUNTIFS('Data &amp; Returns'!F3:F358,"&gt;"&amp;A77,'Data &amp; Returns'!F3:F358,"&lt;="&amp;A78)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0" t="inlineStr">
        <is>
          <t>QUESTION 2: STATISTICAL ANALYSIS SUMMARY</t>
        </is>
      </c>
    </row>
    <row r="2"/>
    <row r="3">
      <c r="A3" s="11" t="inlineStr">
        <is>
          <t>Dataset Information</t>
        </is>
      </c>
    </row>
    <row r="4">
      <c r="A4" t="inlineStr">
        <is>
          <t>Stock Selected:</t>
        </is>
      </c>
      <c r="B4" t="inlineStr">
        <is>
          <t>Apple Inc. (AAPL)</t>
        </is>
      </c>
    </row>
    <row r="5">
      <c r="A5" t="inlineStr">
        <is>
          <t>Index Selected:</t>
        </is>
      </c>
      <c r="B5" t="inlineStr">
        <is>
          <t>S&amp;P 500</t>
        </is>
      </c>
    </row>
    <row r="6">
      <c r="A6" t="inlineStr">
        <is>
          <t>Data Frequency:</t>
        </is>
      </c>
      <c r="B6" t="inlineStr">
        <is>
          <t>Weekly</t>
        </is>
      </c>
    </row>
    <row r="7">
      <c r="A7" t="inlineStr">
        <is>
          <t>Period:</t>
        </is>
      </c>
      <c r="B7" t="inlineStr">
        <is>
          <t>November 2019 to November 2025 (6 years)</t>
        </is>
      </c>
    </row>
    <row r="8">
      <c r="A8" t="inlineStr">
        <is>
          <t>Number of Observations:</t>
        </is>
      </c>
      <c r="B8" s="4">
        <f>COUNT('Data &amp; Returns'!E3:E358) &amp; " weekly returns"</f>
        <v/>
      </c>
    </row>
    <row r="9"/>
    <row r="10">
      <c r="A10" s="11" t="inlineStr">
        <is>
          <t>Statistical Summary</t>
        </is>
      </c>
    </row>
    <row r="11">
      <c r="A11" s="6" t="inlineStr">
        <is>
          <t>Metric</t>
        </is>
      </c>
      <c r="B11" s="6" t="inlineStr">
        <is>
          <t>S&amp;P 500</t>
        </is>
      </c>
      <c r="C11" s="6" t="inlineStr">
        <is>
          <t>AAPL</t>
        </is>
      </c>
    </row>
    <row r="12">
      <c r="A12" t="inlineStr">
        <is>
          <t>Mean Weekly Return</t>
        </is>
      </c>
      <c r="B12" s="4">
        <f>Calculations!B6</f>
        <v/>
      </c>
      <c r="C12" s="4">
        <f>Calculations!C6</f>
        <v/>
      </c>
    </row>
    <row r="13">
      <c r="A13" t="inlineStr">
        <is>
          <t>Variance</t>
        </is>
      </c>
      <c r="B13" s="4">
        <f>Calculations!B11</f>
        <v/>
      </c>
      <c r="C13" s="4">
        <f>Calculations!C11</f>
        <v/>
      </c>
    </row>
    <row r="14">
      <c r="A14" t="inlineStr">
        <is>
          <t>Standard Deviation</t>
        </is>
      </c>
      <c r="B14" s="4">
        <f>Calculations!B17</f>
        <v/>
      </c>
      <c r="C14" s="4">
        <f>Calculations!C17</f>
        <v/>
      </c>
    </row>
    <row r="15">
      <c r="A15" t="inlineStr">
        <is>
          <t>Skewness</t>
        </is>
      </c>
      <c r="B15" s="4">
        <f>Calculations!B23</f>
        <v/>
      </c>
      <c r="C15" s="4">
        <f>Calculations!C23</f>
        <v/>
      </c>
    </row>
    <row r="16">
      <c r="A16" t="inlineStr">
        <is>
          <t>Kurtosis</t>
        </is>
      </c>
      <c r="B16" s="4">
        <f>Calculations!B24</f>
        <v/>
      </c>
      <c r="C16" s="4">
        <f>Calculations!C24</f>
        <v/>
      </c>
    </row>
    <row r="17"/>
    <row r="18">
      <c r="A18" s="12" t="inlineStr">
        <is>
          <t>Co-movement Analysis</t>
        </is>
      </c>
    </row>
    <row r="19">
      <c r="A19" t="inlineStr">
        <is>
          <t>Weeks Moving Together</t>
        </is>
      </c>
      <c r="B19" s="4">
        <f>Calculations!B28</f>
        <v/>
      </c>
      <c r="C19" s="4">
        <f>Calculations!C28</f>
        <v/>
      </c>
    </row>
    <row r="20">
      <c r="A20" t="inlineStr">
        <is>
          <t>Weeks Moving Apart</t>
        </is>
      </c>
      <c r="B20" s="4">
        <f>Calculations!B29</f>
        <v/>
      </c>
      <c r="C20" s="4">
        <f>Calculations!C29</f>
        <v/>
      </c>
    </row>
    <row r="21"/>
    <row r="22">
      <c r="A22" s="12" t="inlineStr">
        <is>
          <t>Relationship Metrics</t>
        </is>
      </c>
    </row>
    <row r="23">
      <c r="A23" t="inlineStr">
        <is>
          <t>Covariance</t>
        </is>
      </c>
      <c r="B23" s="4">
        <f>Calculations!B33</f>
        <v/>
      </c>
    </row>
    <row r="24">
      <c r="A24" t="inlineStr">
        <is>
          <t>Correlation</t>
        </is>
      </c>
      <c r="B24" s="4">
        <f>Calculations!B38</f>
        <v/>
      </c>
    </row>
    <row r="25"/>
    <row r="26">
      <c r="A26" s="12" t="inlineStr">
        <is>
          <t>Regression Results (AAPL vs S&amp;P 500)</t>
        </is>
      </c>
    </row>
    <row r="27">
      <c r="A27" t="inlineStr">
        <is>
          <t>Beta (Slope)</t>
        </is>
      </c>
      <c r="B27" s="4">
        <f>Calculations!B43</f>
        <v/>
      </c>
    </row>
    <row r="28">
      <c r="A28" t="inlineStr">
        <is>
          <t>Alpha (Intercept)</t>
        </is>
      </c>
      <c r="B28" s="4">
        <f>Calculations!B44</f>
        <v/>
      </c>
    </row>
    <row r="29">
      <c r="A29" t="inlineStr">
        <is>
          <t>R-Square</t>
        </is>
      </c>
      <c r="B29" s="4">
        <f>Calculations!B45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2025-11-13T20:27:40Z</dcterms:created>
  <dcterms:modified xsi:type="dcterms:W3CDTF">2025-11-13T20:27:40Z</dcterms:modified>
</cp:coreProperties>
</file>
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&amp; Returns" sheetId="1" state="visible" r:id="rId1"/>
    <sheet name="Calculations" sheetId="2" state="visible" r:id="rId2"/>
    <sheet name="Histograms" sheetId="3" state="visible" r:id="rId3"/>
    <sheet name="Summary 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000%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0"/>
    </font>
    <font>
      <b val="1"/>
      <sz val="12"/>
    </font>
    <font>
      <b val="1"/>
      <color rgb="00FFFFFF"/>
      <sz val="14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203764"/>
        <bgColor rgb="002037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7" fillId="2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Returns vs S&amp;P 500 Returns</a:t>
            </a:r>
          </a:p>
        </rich>
      </tx>
    </title>
    <plotArea>
      <scatterChart>
        <ser>
          <idx val="0"/>
          <order val="0"/>
          <tx>
            <v>Returns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'Data &amp; Returns'!$D$3:$D$315</f>
            </numRef>
          </xVal>
          <yVal>
            <numRef>
              <f>'Data &amp; Returns'!$E$3:$E$315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S&amp;P 500 Weekly Returns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AAPL Weekly Returns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S&amp;P 500 Weekly Returns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'Histograms'!B4</f>
            </strRef>
          </tx>
          <spPr>
            <a:ln>
              <a:prstDash val="solid"/>
            </a:ln>
          </spPr>
          <cat>
            <numRef>
              <f>'Histograms'!$C$5:$C$35</f>
            </numRef>
          </cat>
          <val>
            <numRef>
              <f>'Histograms'!$B$5:$B$35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Return Bins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Weekly Returns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'Histograms'!B39</f>
            </strRef>
          </tx>
          <spPr>
            <a:ln>
              <a:prstDash val="solid"/>
            </a:ln>
          </spPr>
          <cat>
            <numRef>
              <f>'Histograms'!$C$40:$C$80</f>
            </numRef>
          </cat>
          <val>
            <numRef>
              <f>'Histograms'!$B$40:$B$80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Return Bins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36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8" customWidth="1" min="5" max="5"/>
  </cols>
  <sheetData>
    <row r="1">
      <c r="A1" s="1" t="inlineStr">
        <is>
          <t>Date</t>
        </is>
      </c>
      <c r="B1" s="1" t="inlineStr">
        <is>
          <t>S&amp;P 500 Price</t>
        </is>
      </c>
      <c r="C1" s="1" t="inlineStr">
        <is>
          <t>AAPL Price</t>
        </is>
      </c>
      <c r="D1" s="1" t="inlineStr">
        <is>
          <t>S&amp;P 500 Log Return</t>
        </is>
      </c>
      <c r="E1" s="1" t="inlineStr">
        <is>
          <t>AAPL Log Return</t>
        </is>
      </c>
      <c r="G1" s="7" t="inlineStr">
        <is>
          <t>(i) SCATTER DIAGRAM: AAPL vs S&amp;P 500</t>
        </is>
      </c>
    </row>
    <row r="2">
      <c r="A2" s="2" t="n">
        <v>43772</v>
      </c>
      <c r="B2" t="n">
        <v>3093.08</v>
      </c>
      <c r="C2" t="n">
        <v>65.04000000000001</v>
      </c>
    </row>
    <row r="3">
      <c r="A3" s="2" t="n">
        <v>43779</v>
      </c>
      <c r="B3" t="n">
        <v>3120.46</v>
      </c>
      <c r="C3" t="n">
        <v>66.44</v>
      </c>
      <c r="D3">
        <f>LN(B3/B2)</f>
        <v/>
      </c>
      <c r="E3">
        <f>LN(C3/C2)</f>
        <v/>
      </c>
    </row>
    <row r="4">
      <c r="A4" s="2" t="n">
        <v>43786</v>
      </c>
      <c r="B4" t="n">
        <v>3110.29</v>
      </c>
      <c r="C4" t="n">
        <v>65.44</v>
      </c>
      <c r="D4">
        <f>LN(B4/B3)</f>
        <v/>
      </c>
      <c r="E4">
        <f>LN(C4/C3)</f>
        <v/>
      </c>
    </row>
    <row r="5">
      <c r="A5" s="2" t="n">
        <v>43793</v>
      </c>
      <c r="B5" t="n">
        <v>3140.98</v>
      </c>
      <c r="C5" t="n">
        <v>66.81</v>
      </c>
      <c r="D5">
        <f>LN(B5/B4)</f>
        <v/>
      </c>
      <c r="E5">
        <f>LN(C5/C4)</f>
        <v/>
      </c>
    </row>
    <row r="6">
      <c r="A6" s="2" t="n">
        <v>43800</v>
      </c>
      <c r="B6" t="n">
        <v>3145.91</v>
      </c>
      <c r="C6" t="n">
        <v>67.68000000000001</v>
      </c>
      <c r="D6">
        <f>LN(B6/B5)</f>
        <v/>
      </c>
      <c r="E6">
        <f>LN(C6/C5)</f>
        <v/>
      </c>
    </row>
    <row r="7">
      <c r="A7" s="2" t="n">
        <v>43807</v>
      </c>
      <c r="B7" t="n">
        <v>3168.8</v>
      </c>
      <c r="C7" t="n">
        <v>68.79000000000001</v>
      </c>
      <c r="D7">
        <f>LN(B7/B6)</f>
        <v/>
      </c>
      <c r="E7">
        <f>LN(C7/C6)</f>
        <v/>
      </c>
    </row>
    <row r="8">
      <c r="A8" s="2" t="n">
        <v>43814</v>
      </c>
      <c r="B8" t="n">
        <v>3221.22</v>
      </c>
      <c r="C8" t="n">
        <v>69.86</v>
      </c>
      <c r="D8">
        <f>LN(B8/B7)</f>
        <v/>
      </c>
      <c r="E8">
        <f>LN(C8/C7)</f>
        <v/>
      </c>
    </row>
    <row r="9">
      <c r="A9" s="2" t="n">
        <v>43821</v>
      </c>
      <c r="B9" t="n">
        <v>3240.02</v>
      </c>
      <c r="C9" t="n">
        <v>72.45</v>
      </c>
      <c r="D9">
        <f>LN(B9/B8)</f>
        <v/>
      </c>
      <c r="E9">
        <f>LN(C9/C8)</f>
        <v/>
      </c>
    </row>
    <row r="10">
      <c r="A10" s="2" t="n">
        <v>43828</v>
      </c>
      <c r="B10" t="n">
        <v>3234.85</v>
      </c>
      <c r="C10" t="n">
        <v>74.36</v>
      </c>
      <c r="D10">
        <f>LN(B10/B9)</f>
        <v/>
      </c>
      <c r="E10">
        <f>LN(C10/C9)</f>
        <v/>
      </c>
    </row>
    <row r="11">
      <c r="A11" s="2" t="n">
        <v>43835</v>
      </c>
      <c r="B11" t="n">
        <v>3265.35</v>
      </c>
      <c r="C11" t="n">
        <v>77.58</v>
      </c>
      <c r="D11">
        <f>LN(B11/B10)</f>
        <v/>
      </c>
      <c r="E11">
        <f>LN(C11/C10)</f>
        <v/>
      </c>
    </row>
    <row r="12">
      <c r="A12" s="2" t="n">
        <v>43842</v>
      </c>
      <c r="B12" t="n">
        <v>3329.62</v>
      </c>
      <c r="C12" t="n">
        <v>79.68000000000001</v>
      </c>
      <c r="D12">
        <f>LN(B12/B11)</f>
        <v/>
      </c>
      <c r="E12">
        <f>LN(C12/C11)</f>
        <v/>
      </c>
    </row>
    <row r="13">
      <c r="A13" s="2" t="n">
        <v>43849</v>
      </c>
      <c r="B13" t="n">
        <v>3295.47</v>
      </c>
      <c r="C13" t="n">
        <v>79.58</v>
      </c>
      <c r="D13">
        <f>LN(B13/B12)</f>
        <v/>
      </c>
      <c r="E13">
        <f>LN(C13/C12)</f>
        <v/>
      </c>
    </row>
    <row r="14">
      <c r="A14" s="2" t="n">
        <v>43856</v>
      </c>
      <c r="B14" t="n">
        <v>3225.52</v>
      </c>
      <c r="C14" t="n">
        <v>77.38</v>
      </c>
      <c r="D14">
        <f>LN(B14/B13)</f>
        <v/>
      </c>
      <c r="E14">
        <f>LN(C14/C13)</f>
        <v/>
      </c>
    </row>
    <row r="15">
      <c r="A15" s="2" t="n">
        <v>43863</v>
      </c>
      <c r="B15" t="n">
        <v>3327.71</v>
      </c>
      <c r="C15" t="n">
        <v>80.01000000000001</v>
      </c>
      <c r="D15">
        <f>LN(B15/B14)</f>
        <v/>
      </c>
      <c r="E15">
        <f>LN(C15/C14)</f>
        <v/>
      </c>
    </row>
    <row r="16">
      <c r="A16" s="2" t="n">
        <v>43870</v>
      </c>
      <c r="B16" t="n">
        <v>3380.16</v>
      </c>
      <c r="C16" t="n">
        <v>81.23999999999999</v>
      </c>
      <c r="D16">
        <f>LN(B16/B15)</f>
        <v/>
      </c>
      <c r="E16">
        <f>LN(C16/C15)</f>
        <v/>
      </c>
    </row>
    <row r="17">
      <c r="A17" s="2" t="n">
        <v>43877</v>
      </c>
      <c r="B17" t="n">
        <v>3337.75</v>
      </c>
      <c r="C17" t="n">
        <v>78.26000000000001</v>
      </c>
      <c r="D17">
        <f>LN(B17/B16)</f>
        <v/>
      </c>
      <c r="E17">
        <f>LN(C17/C16)</f>
        <v/>
      </c>
    </row>
    <row r="18">
      <c r="A18" s="2" t="n">
        <v>43884</v>
      </c>
      <c r="B18" t="n">
        <v>2954.22</v>
      </c>
      <c r="C18" t="n">
        <v>68.34</v>
      </c>
      <c r="D18">
        <f>LN(B18/B17)</f>
        <v/>
      </c>
      <c r="E18">
        <f>LN(C18/C17)</f>
        <v/>
      </c>
    </row>
    <row r="19">
      <c r="A19" s="2" t="n">
        <v>43891</v>
      </c>
      <c r="B19" t="n">
        <v>2972.37</v>
      </c>
      <c r="C19" t="n">
        <v>72.26000000000001</v>
      </c>
      <c r="D19">
        <f>LN(B19/B18)</f>
        <v/>
      </c>
      <c r="E19">
        <f>LN(C19/C18)</f>
        <v/>
      </c>
    </row>
    <row r="20">
      <c r="A20" s="2" t="n">
        <v>43898</v>
      </c>
      <c r="B20" t="n">
        <v>2711.02</v>
      </c>
      <c r="C20" t="n">
        <v>69.48999999999999</v>
      </c>
      <c r="D20">
        <f>LN(B20/B19)</f>
        <v/>
      </c>
      <c r="E20">
        <f>LN(C20/C19)</f>
        <v/>
      </c>
    </row>
    <row r="21">
      <c r="A21" s="2" t="n">
        <v>43905</v>
      </c>
      <c r="B21" t="n">
        <v>2304.92</v>
      </c>
      <c r="C21" t="n">
        <v>57.31</v>
      </c>
      <c r="D21">
        <f>LN(B21/B20)</f>
        <v/>
      </c>
      <c r="E21">
        <f>LN(C21/C20)</f>
        <v/>
      </c>
    </row>
    <row r="22">
      <c r="A22" s="2" t="n">
        <v>43912</v>
      </c>
      <c r="B22" t="n">
        <v>2541.47</v>
      </c>
      <c r="C22" t="n">
        <v>61.94</v>
      </c>
      <c r="D22">
        <f>LN(B22/B21)</f>
        <v/>
      </c>
      <c r="E22">
        <f>LN(C22/C21)</f>
        <v/>
      </c>
    </row>
    <row r="23">
      <c r="A23" s="2" t="n">
        <v>43919</v>
      </c>
      <c r="B23" t="n">
        <v>2488.65</v>
      </c>
      <c r="C23" t="n">
        <v>60.35</v>
      </c>
      <c r="D23">
        <f>LN(B23/B22)</f>
        <v/>
      </c>
      <c r="E23">
        <f>LN(C23/C22)</f>
        <v/>
      </c>
    </row>
    <row r="24">
      <c r="A24" s="2" t="n">
        <v>43926</v>
      </c>
      <c r="B24" t="n">
        <v>2789.82</v>
      </c>
      <c r="C24" t="n">
        <v>67</v>
      </c>
      <c r="D24">
        <f>LN(B24/B23)</f>
        <v/>
      </c>
      <c r="E24">
        <f>LN(C24/C23)</f>
        <v/>
      </c>
    </row>
    <row r="25">
      <c r="A25" s="2" t="n">
        <v>43933</v>
      </c>
      <c r="B25" t="n">
        <v>2874.56</v>
      </c>
      <c r="C25" t="n">
        <v>70.7</v>
      </c>
      <c r="D25">
        <f>LN(B25/B24)</f>
        <v/>
      </c>
      <c r="E25">
        <f>LN(C25/C24)</f>
        <v/>
      </c>
    </row>
    <row r="26">
      <c r="A26" s="2" t="n">
        <v>43940</v>
      </c>
      <c r="B26" t="n">
        <v>2836.74</v>
      </c>
      <c r="C26" t="n">
        <v>70.73999999999999</v>
      </c>
      <c r="D26">
        <f>LN(B26/B25)</f>
        <v/>
      </c>
      <c r="E26">
        <f>LN(C26/C25)</f>
        <v/>
      </c>
    </row>
    <row r="27">
      <c r="A27" s="2" t="n">
        <v>43947</v>
      </c>
      <c r="B27" t="n">
        <v>2830.71</v>
      </c>
      <c r="C27" t="n">
        <v>72.27</v>
      </c>
      <c r="D27">
        <f>LN(B27/B26)</f>
        <v/>
      </c>
      <c r="E27">
        <f>LN(C27/C26)</f>
        <v/>
      </c>
    </row>
    <row r="28">
      <c r="A28" s="2" t="n">
        <v>43954</v>
      </c>
      <c r="B28" t="n">
        <v>2929.8</v>
      </c>
      <c r="C28" t="n">
        <v>77.53</v>
      </c>
      <c r="D28">
        <f>LN(B28/B27)</f>
        <v/>
      </c>
      <c r="E28">
        <f>LN(C28/C27)</f>
        <v/>
      </c>
    </row>
    <row r="29">
      <c r="A29" s="2" t="n">
        <v>43961</v>
      </c>
      <c r="B29" t="n">
        <v>2863.7</v>
      </c>
      <c r="C29" t="n">
        <v>76.93000000000001</v>
      </c>
      <c r="D29">
        <f>LN(B29/B28)</f>
        <v/>
      </c>
      <c r="E29">
        <f>LN(C29/C28)</f>
        <v/>
      </c>
    </row>
    <row r="30">
      <c r="A30" s="2" t="n">
        <v>43968</v>
      </c>
      <c r="B30" t="n">
        <v>2955.45</v>
      </c>
      <c r="C30" t="n">
        <v>79.72</v>
      </c>
      <c r="D30">
        <f>LN(B30/B29)</f>
        <v/>
      </c>
      <c r="E30">
        <f>LN(C30/C29)</f>
        <v/>
      </c>
    </row>
    <row r="31">
      <c r="A31" s="2" t="n">
        <v>43975</v>
      </c>
      <c r="B31" t="n">
        <v>3044.31</v>
      </c>
      <c r="C31" t="n">
        <v>79.48999999999999</v>
      </c>
      <c r="D31">
        <f>LN(B31/B30)</f>
        <v/>
      </c>
      <c r="E31">
        <f>LN(C31/C30)</f>
        <v/>
      </c>
    </row>
    <row r="32">
      <c r="A32" s="2" t="n">
        <v>43982</v>
      </c>
      <c r="B32" t="n">
        <v>3193.93</v>
      </c>
      <c r="C32" t="n">
        <v>82.88</v>
      </c>
      <c r="D32">
        <f>LN(B32/B31)</f>
        <v/>
      </c>
      <c r="E32">
        <f>LN(C32/C31)</f>
        <v/>
      </c>
    </row>
    <row r="33">
      <c r="A33" s="2" t="n">
        <v>43989</v>
      </c>
      <c r="B33" t="n">
        <v>3041.31</v>
      </c>
      <c r="C33" t="n">
        <v>84.7</v>
      </c>
      <c r="D33">
        <f>LN(B33/B32)</f>
        <v/>
      </c>
      <c r="E33">
        <f>LN(C33/C32)</f>
        <v/>
      </c>
    </row>
    <row r="34">
      <c r="A34" s="2" t="n">
        <v>43996</v>
      </c>
      <c r="B34" t="n">
        <v>3097.74</v>
      </c>
      <c r="C34" t="n">
        <v>87.43000000000001</v>
      </c>
      <c r="D34">
        <f>LN(B34/B33)</f>
        <v/>
      </c>
      <c r="E34">
        <f>LN(C34/C33)</f>
        <v/>
      </c>
    </row>
    <row r="35">
      <c r="A35" s="2" t="n">
        <v>44003</v>
      </c>
      <c r="B35" t="n">
        <v>3009.05</v>
      </c>
      <c r="C35" t="n">
        <v>88.41</v>
      </c>
      <c r="D35">
        <f>LN(B35/B34)</f>
        <v/>
      </c>
      <c r="E35">
        <f>LN(C35/C34)</f>
        <v/>
      </c>
    </row>
    <row r="36">
      <c r="A36" s="2" t="n">
        <v>44010</v>
      </c>
      <c r="B36" t="n">
        <v>3130.01</v>
      </c>
      <c r="C36" t="n">
        <v>91.03</v>
      </c>
      <c r="D36">
        <f>LN(B36/B35)</f>
        <v/>
      </c>
      <c r="E36">
        <f>LN(C36/C35)</f>
        <v/>
      </c>
    </row>
    <row r="37">
      <c r="A37" s="2" t="n">
        <v>44017</v>
      </c>
      <c r="B37" t="n">
        <v>3185.04</v>
      </c>
      <c r="C37" t="n">
        <v>95.92</v>
      </c>
      <c r="D37">
        <f>LN(B37/B36)</f>
        <v/>
      </c>
      <c r="E37">
        <f>LN(C37/C36)</f>
        <v/>
      </c>
    </row>
    <row r="38">
      <c r="A38" s="2" t="n">
        <v>44024</v>
      </c>
      <c r="B38" t="n">
        <v>3224.73</v>
      </c>
      <c r="C38" t="n">
        <v>96.33</v>
      </c>
      <c r="D38">
        <f>LN(B38/B37)</f>
        <v/>
      </c>
      <c r="E38">
        <f>LN(C38/C37)</f>
        <v/>
      </c>
    </row>
    <row r="39">
      <c r="A39" s="2" t="n">
        <v>44031</v>
      </c>
      <c r="B39" t="n">
        <v>3215.63</v>
      </c>
      <c r="C39" t="n">
        <v>92.61</v>
      </c>
      <c r="D39">
        <f>LN(B39/B38)</f>
        <v/>
      </c>
      <c r="E39">
        <f>LN(C39/C38)</f>
        <v/>
      </c>
    </row>
    <row r="40">
      <c r="A40" s="2" t="n">
        <v>44038</v>
      </c>
      <c r="B40" t="n">
        <v>3271.12</v>
      </c>
      <c r="C40" t="n">
        <v>106.26</v>
      </c>
      <c r="D40">
        <f>LN(B40/B39)</f>
        <v/>
      </c>
      <c r="E40">
        <f>LN(C40/C39)</f>
        <v/>
      </c>
    </row>
    <row r="41">
      <c r="A41" s="2" t="n">
        <v>44045</v>
      </c>
      <c r="B41" t="n">
        <v>3351.28</v>
      </c>
      <c r="C41" t="n">
        <v>111.11</v>
      </c>
      <c r="D41">
        <f>LN(B41/B40)</f>
        <v/>
      </c>
      <c r="E41">
        <f>LN(C41/C40)</f>
        <v/>
      </c>
    </row>
    <row r="42">
      <c r="A42" s="2" t="n">
        <v>44052</v>
      </c>
      <c r="B42" t="n">
        <v>3372.85</v>
      </c>
      <c r="C42" t="n">
        <v>114.91</v>
      </c>
      <c r="D42">
        <f>LN(B42/B41)</f>
        <v/>
      </c>
      <c r="E42">
        <f>LN(C42/C41)</f>
        <v/>
      </c>
    </row>
    <row r="43">
      <c r="A43" s="2" t="n">
        <v>44059</v>
      </c>
      <c r="B43" t="n">
        <v>3397.16</v>
      </c>
      <c r="C43" t="n">
        <v>124.37</v>
      </c>
      <c r="D43">
        <f>LN(B43/B42)</f>
        <v/>
      </c>
      <c r="E43">
        <f>LN(C43/C42)</f>
        <v/>
      </c>
    </row>
    <row r="44">
      <c r="A44" s="2" t="n">
        <v>44066</v>
      </c>
      <c r="B44" t="n">
        <v>3508.01</v>
      </c>
      <c r="C44" t="n">
        <v>124.81</v>
      </c>
      <c r="D44">
        <f>LN(B44/B43)</f>
        <v/>
      </c>
      <c r="E44">
        <f>LN(C44/C43)</f>
        <v/>
      </c>
    </row>
    <row r="45">
      <c r="A45" s="2" t="n">
        <v>44073</v>
      </c>
      <c r="B45" t="n">
        <v>3426.96</v>
      </c>
      <c r="C45" t="n">
        <v>120.96</v>
      </c>
      <c r="D45">
        <f>LN(B45/B44)</f>
        <v/>
      </c>
      <c r="E45">
        <f>LN(C45/C44)</f>
        <v/>
      </c>
    </row>
    <row r="46">
      <c r="A46" s="2" t="n">
        <v>44080</v>
      </c>
      <c r="B46" t="n">
        <v>3340.97</v>
      </c>
      <c r="C46" t="n">
        <v>112</v>
      </c>
      <c r="D46">
        <f>LN(B46/B45)</f>
        <v/>
      </c>
      <c r="E46">
        <f>LN(C46/C45)</f>
        <v/>
      </c>
    </row>
    <row r="47">
      <c r="A47" s="2" t="n">
        <v>44087</v>
      </c>
      <c r="B47" t="n">
        <v>3319.47</v>
      </c>
      <c r="C47" t="n">
        <v>106.84</v>
      </c>
      <c r="D47">
        <f>LN(B47/B46)</f>
        <v/>
      </c>
      <c r="E47">
        <f>LN(C47/C46)</f>
        <v/>
      </c>
    </row>
    <row r="48">
      <c r="A48" s="2" t="n">
        <v>44094</v>
      </c>
      <c r="B48" t="n">
        <v>3298.46</v>
      </c>
      <c r="C48" t="n">
        <v>112.28</v>
      </c>
      <c r="D48">
        <f>LN(B48/B47)</f>
        <v/>
      </c>
      <c r="E48">
        <f>LN(C48/C47)</f>
        <v/>
      </c>
    </row>
    <row r="49">
      <c r="A49" s="2" t="n">
        <v>44101</v>
      </c>
      <c r="B49" t="n">
        <v>3348.44</v>
      </c>
      <c r="C49" t="n">
        <v>113.02</v>
      </c>
      <c r="D49">
        <f>LN(B49/B48)</f>
        <v/>
      </c>
      <c r="E49">
        <f>LN(C49/C48)</f>
        <v/>
      </c>
    </row>
    <row r="50">
      <c r="A50" s="2" t="n">
        <v>44108</v>
      </c>
      <c r="B50" t="n">
        <v>3477.13</v>
      </c>
      <c r="C50" t="n">
        <v>116.97</v>
      </c>
      <c r="D50">
        <f>LN(B50/B49)</f>
        <v/>
      </c>
      <c r="E50">
        <f>LN(C50/C49)</f>
        <v/>
      </c>
    </row>
    <row r="51">
      <c r="A51" s="2" t="n">
        <v>44115</v>
      </c>
      <c r="B51" t="n">
        <v>3483.81</v>
      </c>
      <c r="C51" t="n">
        <v>119.02</v>
      </c>
      <c r="D51">
        <f>LN(B51/B50)</f>
        <v/>
      </c>
      <c r="E51">
        <f>LN(C51/C50)</f>
        <v/>
      </c>
    </row>
    <row r="52">
      <c r="A52" s="2" t="n">
        <v>44122</v>
      </c>
      <c r="B52" t="n">
        <v>3465.39</v>
      </c>
      <c r="C52" t="n">
        <v>115.04</v>
      </c>
      <c r="D52">
        <f>LN(B52/B51)</f>
        <v/>
      </c>
      <c r="E52">
        <f>LN(C52/C51)</f>
        <v/>
      </c>
    </row>
    <row r="53">
      <c r="A53" s="2" t="n">
        <v>44129</v>
      </c>
      <c r="B53" t="n">
        <v>3269.96</v>
      </c>
      <c r="C53" t="n">
        <v>108.86</v>
      </c>
      <c r="D53">
        <f>LN(B53/B52)</f>
        <v/>
      </c>
      <c r="E53">
        <f>LN(C53/C52)</f>
        <v/>
      </c>
    </row>
    <row r="54">
      <c r="A54" s="2" t="n">
        <v>44136</v>
      </c>
      <c r="B54" t="n">
        <v>3509.44</v>
      </c>
      <c r="C54" t="n">
        <v>118.69</v>
      </c>
      <c r="D54">
        <f>LN(B54/B53)</f>
        <v/>
      </c>
      <c r="E54">
        <f>LN(C54/C53)</f>
        <v/>
      </c>
    </row>
    <row r="55">
      <c r="A55" s="2" t="n">
        <v>44143</v>
      </c>
      <c r="B55" t="n">
        <v>3585.15</v>
      </c>
      <c r="C55" t="n">
        <v>119.26</v>
      </c>
      <c r="D55">
        <f>LN(B55/B54)</f>
        <v/>
      </c>
      <c r="E55">
        <f>LN(C55/C54)</f>
        <v/>
      </c>
    </row>
    <row r="56">
      <c r="A56" s="2" t="n">
        <v>44150</v>
      </c>
      <c r="B56" t="n">
        <v>3557.54</v>
      </c>
      <c r="C56" t="n">
        <v>117.34</v>
      </c>
      <c r="D56">
        <f>LN(B56/B55)</f>
        <v/>
      </c>
      <c r="E56">
        <f>LN(C56/C55)</f>
        <v/>
      </c>
    </row>
    <row r="57">
      <c r="A57" s="2" t="n">
        <v>44157</v>
      </c>
      <c r="B57" t="n">
        <v>3638.35</v>
      </c>
      <c r="C57" t="n">
        <v>116.59</v>
      </c>
      <c r="D57">
        <f>LN(B57/B56)</f>
        <v/>
      </c>
      <c r="E57">
        <f>LN(C57/C56)</f>
        <v/>
      </c>
    </row>
    <row r="58">
      <c r="A58" s="2" t="n">
        <v>44164</v>
      </c>
      <c r="B58" t="n">
        <v>3699.12</v>
      </c>
      <c r="C58" t="n">
        <v>122.25</v>
      </c>
      <c r="D58">
        <f>LN(B58/B57)</f>
        <v/>
      </c>
      <c r="E58">
        <f>LN(C58/C57)</f>
        <v/>
      </c>
    </row>
    <row r="59">
      <c r="A59" s="2" t="n">
        <v>44171</v>
      </c>
      <c r="B59" t="n">
        <v>3663.46</v>
      </c>
      <c r="C59" t="n">
        <v>122.41</v>
      </c>
      <c r="D59">
        <f>LN(B59/B58)</f>
        <v/>
      </c>
      <c r="E59">
        <f>LN(C59/C58)</f>
        <v/>
      </c>
    </row>
    <row r="60">
      <c r="A60" s="2" t="n">
        <v>44178</v>
      </c>
      <c r="B60" t="n">
        <v>3709.41</v>
      </c>
      <c r="C60" t="n">
        <v>126.65</v>
      </c>
      <c r="D60">
        <f>LN(B60/B59)</f>
        <v/>
      </c>
      <c r="E60">
        <f>LN(C60/C59)</f>
        <v/>
      </c>
    </row>
    <row r="61">
      <c r="A61" s="2" t="n">
        <v>44185</v>
      </c>
      <c r="B61" t="n">
        <v>3703.06</v>
      </c>
      <c r="C61" t="n">
        <v>131.97</v>
      </c>
      <c r="D61">
        <f>LN(B61/B60)</f>
        <v/>
      </c>
      <c r="E61">
        <f>LN(C61/C60)</f>
        <v/>
      </c>
    </row>
    <row r="62">
      <c r="A62" s="2" t="n">
        <v>44192</v>
      </c>
      <c r="B62" t="n">
        <v>3756.07</v>
      </c>
      <c r="C62" t="n">
        <v>132.69</v>
      </c>
      <c r="D62">
        <f>LN(B62/B61)</f>
        <v/>
      </c>
      <c r="E62">
        <f>LN(C62/C61)</f>
        <v/>
      </c>
    </row>
    <row r="63">
      <c r="A63" s="2" t="n">
        <v>44199</v>
      </c>
      <c r="B63" t="n">
        <v>3824.68</v>
      </c>
      <c r="C63" t="n">
        <v>132.05</v>
      </c>
      <c r="D63">
        <f>LN(B63/B62)</f>
        <v/>
      </c>
      <c r="E63">
        <f>LN(C63/C62)</f>
        <v/>
      </c>
    </row>
    <row r="64">
      <c r="A64" s="2" t="n">
        <v>44206</v>
      </c>
      <c r="B64" t="n">
        <v>3768.25</v>
      </c>
      <c r="C64" t="n">
        <v>127.14</v>
      </c>
      <c r="D64">
        <f>LN(B64/B63)</f>
        <v/>
      </c>
      <c r="E64">
        <f>LN(C64/C63)</f>
        <v/>
      </c>
    </row>
    <row r="65">
      <c r="A65" s="2" t="n">
        <v>44213</v>
      </c>
      <c r="B65" t="n">
        <v>3841.47</v>
      </c>
      <c r="C65" t="n">
        <v>139.07</v>
      </c>
      <c r="D65">
        <f>LN(B65/B64)</f>
        <v/>
      </c>
      <c r="E65">
        <f>LN(C65/C64)</f>
        <v/>
      </c>
    </row>
    <row r="66">
      <c r="A66" s="2" t="n">
        <v>44220</v>
      </c>
      <c r="B66" t="n">
        <v>3714.24</v>
      </c>
      <c r="C66" t="n">
        <v>131.96</v>
      </c>
      <c r="D66">
        <f>LN(B66/B65)</f>
        <v/>
      </c>
      <c r="E66">
        <f>LN(C66/C65)</f>
        <v/>
      </c>
    </row>
    <row r="67">
      <c r="A67" s="2" t="n">
        <v>44227</v>
      </c>
      <c r="B67" t="n">
        <v>3886.83</v>
      </c>
      <c r="C67" t="n">
        <v>136.76</v>
      </c>
      <c r="D67">
        <f>LN(B67/B66)</f>
        <v/>
      </c>
      <c r="E67">
        <f>LN(C67/C66)</f>
        <v/>
      </c>
    </row>
    <row r="68">
      <c r="A68" s="2" t="n">
        <v>44234</v>
      </c>
      <c r="B68" t="n">
        <v>3934.83</v>
      </c>
      <c r="C68" t="n">
        <v>135.37</v>
      </c>
      <c r="D68">
        <f>LN(B68/B67)</f>
        <v/>
      </c>
      <c r="E68">
        <f>LN(C68/C67)</f>
        <v/>
      </c>
    </row>
    <row r="69">
      <c r="A69" s="2" t="n">
        <v>44241</v>
      </c>
      <c r="B69" t="n">
        <v>3906.71</v>
      </c>
      <c r="C69" t="n">
        <v>129.87</v>
      </c>
      <c r="D69">
        <f>LN(B69/B68)</f>
        <v/>
      </c>
      <c r="E69">
        <f>LN(C69/C68)</f>
        <v/>
      </c>
    </row>
    <row r="70">
      <c r="A70" s="2" t="n">
        <v>44248</v>
      </c>
      <c r="B70" t="n">
        <v>3811.15</v>
      </c>
      <c r="C70" t="n">
        <v>121.26</v>
      </c>
      <c r="D70">
        <f>LN(B70/B69)</f>
        <v/>
      </c>
      <c r="E70">
        <f>LN(C70/C69)</f>
        <v/>
      </c>
    </row>
    <row r="71">
      <c r="A71" s="2" t="n">
        <v>44255</v>
      </c>
      <c r="B71" t="n">
        <v>3841.94</v>
      </c>
      <c r="C71" t="n">
        <v>121.42</v>
      </c>
      <c r="D71">
        <f>LN(B71/B70)</f>
        <v/>
      </c>
      <c r="E71">
        <f>LN(C71/C70)</f>
        <v/>
      </c>
    </row>
    <row r="72">
      <c r="A72" s="2" t="n">
        <v>44262</v>
      </c>
      <c r="B72" t="n">
        <v>3943.34</v>
      </c>
      <c r="C72" t="n">
        <v>121.03</v>
      </c>
      <c r="D72">
        <f>LN(B72/B71)</f>
        <v/>
      </c>
      <c r="E72">
        <f>LN(C72/C71)</f>
        <v/>
      </c>
    </row>
    <row r="73">
      <c r="A73" s="2" t="n">
        <v>44269</v>
      </c>
      <c r="B73" t="n">
        <v>3913.1</v>
      </c>
      <c r="C73" t="n">
        <v>119.99</v>
      </c>
      <c r="D73">
        <f>LN(B73/B72)</f>
        <v/>
      </c>
      <c r="E73">
        <f>LN(C73/C72)</f>
        <v/>
      </c>
    </row>
    <row r="74">
      <c r="A74" s="2" t="n">
        <v>44276</v>
      </c>
      <c r="B74" t="n">
        <v>3974.54</v>
      </c>
      <c r="C74" t="n">
        <v>121.21</v>
      </c>
      <c r="D74">
        <f>LN(B74/B73)</f>
        <v/>
      </c>
      <c r="E74">
        <f>LN(C74/C73)</f>
        <v/>
      </c>
    </row>
    <row r="75">
      <c r="A75" s="2" t="n">
        <v>44283</v>
      </c>
      <c r="B75" t="n">
        <v>4019.87</v>
      </c>
      <c r="C75" t="n">
        <v>123</v>
      </c>
      <c r="D75">
        <f>LN(B75/B74)</f>
        <v/>
      </c>
      <c r="E75">
        <f>LN(C75/C74)</f>
        <v/>
      </c>
    </row>
    <row r="76">
      <c r="A76" s="2" t="n">
        <v>44290</v>
      </c>
      <c r="B76" t="n">
        <v>4128.8</v>
      </c>
      <c r="C76" t="n">
        <v>132.99</v>
      </c>
      <c r="D76">
        <f>LN(B76/B75)</f>
        <v/>
      </c>
      <c r="E76">
        <f>LN(C76/C75)</f>
        <v/>
      </c>
    </row>
    <row r="77">
      <c r="A77" s="2" t="n">
        <v>44297</v>
      </c>
      <c r="B77" t="n">
        <v>4185.47</v>
      </c>
      <c r="C77" t="n">
        <v>134.16</v>
      </c>
      <c r="D77">
        <f>LN(B77/B76)</f>
        <v/>
      </c>
      <c r="E77">
        <f>LN(C77/C76)</f>
        <v/>
      </c>
    </row>
    <row r="78">
      <c r="A78" s="2" t="n">
        <v>44304</v>
      </c>
      <c r="B78" t="n">
        <v>4180.17</v>
      </c>
      <c r="C78" t="n">
        <v>134.32</v>
      </c>
      <c r="D78">
        <f>LN(B78/B77)</f>
        <v/>
      </c>
      <c r="E78">
        <f>LN(C78/C77)</f>
        <v/>
      </c>
    </row>
    <row r="79">
      <c r="A79" s="2" t="n">
        <v>44311</v>
      </c>
      <c r="B79" t="n">
        <v>4181.17</v>
      </c>
      <c r="C79" t="n">
        <v>131.46</v>
      </c>
      <c r="D79">
        <f>LN(B79/B78)</f>
        <v/>
      </c>
      <c r="E79">
        <f>LN(C79/C78)</f>
        <v/>
      </c>
    </row>
    <row r="80">
      <c r="A80" s="2" t="n">
        <v>44318</v>
      </c>
      <c r="B80" t="n">
        <v>4232.6</v>
      </c>
      <c r="C80" t="n">
        <v>130.21</v>
      </c>
      <c r="D80">
        <f>LN(B80/B79)</f>
        <v/>
      </c>
      <c r="E80">
        <f>LN(C80/C79)</f>
        <v/>
      </c>
    </row>
    <row r="81">
      <c r="A81" s="2" t="n">
        <v>44325</v>
      </c>
      <c r="B81" t="n">
        <v>4173.85</v>
      </c>
      <c r="C81" t="n">
        <v>127.45</v>
      </c>
      <c r="D81">
        <f>LN(B81/B80)</f>
        <v/>
      </c>
      <c r="E81">
        <f>LN(C81/C80)</f>
        <v/>
      </c>
    </row>
    <row r="82">
      <c r="A82" s="2" t="n">
        <v>44332</v>
      </c>
      <c r="B82" t="n">
        <v>4155.86</v>
      </c>
      <c r="C82" t="n">
        <v>125.43</v>
      </c>
      <c r="D82">
        <f>LN(B82/B81)</f>
        <v/>
      </c>
      <c r="E82">
        <f>LN(C82/C81)</f>
        <v/>
      </c>
    </row>
    <row r="83">
      <c r="A83" s="2" t="n">
        <v>44339</v>
      </c>
      <c r="B83" t="n">
        <v>4204.11</v>
      </c>
      <c r="C83" t="n">
        <v>124.61</v>
      </c>
      <c r="D83">
        <f>LN(B83/B82)</f>
        <v/>
      </c>
      <c r="E83">
        <f>LN(C83/C82)</f>
        <v/>
      </c>
    </row>
    <row r="84">
      <c r="A84" s="2" t="n">
        <v>44346</v>
      </c>
      <c r="B84" t="n">
        <v>4229.89</v>
      </c>
      <c r="C84" t="n">
        <v>125.89</v>
      </c>
      <c r="D84">
        <f>LN(B84/B83)</f>
        <v/>
      </c>
      <c r="E84">
        <f>LN(C84/C83)</f>
        <v/>
      </c>
    </row>
    <row r="85">
      <c r="A85" s="2" t="n">
        <v>44353</v>
      </c>
      <c r="B85" t="n">
        <v>4247.44</v>
      </c>
      <c r="C85" t="n">
        <v>127.35</v>
      </c>
      <c r="D85">
        <f>LN(B85/B84)</f>
        <v/>
      </c>
      <c r="E85">
        <f>LN(C85/C84)</f>
        <v/>
      </c>
    </row>
    <row r="86">
      <c r="A86" s="2" t="n">
        <v>44360</v>
      </c>
      <c r="B86" t="n">
        <v>4166.45</v>
      </c>
      <c r="C86" t="n">
        <v>130.46</v>
      </c>
      <c r="D86">
        <f>LN(B86/B85)</f>
        <v/>
      </c>
      <c r="E86">
        <f>LN(C86/C85)</f>
        <v/>
      </c>
    </row>
    <row r="87">
      <c r="A87" s="2" t="n">
        <v>44367</v>
      </c>
      <c r="B87" t="n">
        <v>4280.7</v>
      </c>
      <c r="C87" t="n">
        <v>133.11</v>
      </c>
      <c r="D87">
        <f>LN(B87/B86)</f>
        <v/>
      </c>
      <c r="E87">
        <f>LN(C87/C86)</f>
        <v/>
      </c>
    </row>
    <row r="88">
      <c r="A88" s="2" t="n">
        <v>44374</v>
      </c>
      <c r="B88" t="n">
        <v>4352.34</v>
      </c>
      <c r="C88" t="n">
        <v>139.96</v>
      </c>
      <c r="D88">
        <f>LN(B88/B87)</f>
        <v/>
      </c>
      <c r="E88">
        <f>LN(C88/C87)</f>
        <v/>
      </c>
    </row>
    <row r="89">
      <c r="A89" s="2" t="n">
        <v>44381</v>
      </c>
      <c r="B89" t="n">
        <v>4369.55</v>
      </c>
      <c r="C89" t="n">
        <v>145.11</v>
      </c>
      <c r="D89">
        <f>LN(B89/B88)</f>
        <v/>
      </c>
      <c r="E89">
        <f>LN(C89/C88)</f>
        <v/>
      </c>
    </row>
    <row r="90">
      <c r="A90" s="2" t="n">
        <v>44388</v>
      </c>
      <c r="B90" t="n">
        <v>4327.16</v>
      </c>
      <c r="C90" t="n">
        <v>146.39</v>
      </c>
      <c r="D90">
        <f>LN(B90/B89)</f>
        <v/>
      </c>
      <c r="E90">
        <f>LN(C90/C89)</f>
        <v/>
      </c>
    </row>
    <row r="91">
      <c r="A91" s="2" t="n">
        <v>44395</v>
      </c>
      <c r="B91" t="n">
        <v>4411.79</v>
      </c>
      <c r="C91" t="n">
        <v>148.56</v>
      </c>
      <c r="D91">
        <f>LN(B91/B90)</f>
        <v/>
      </c>
      <c r="E91">
        <f>LN(C91/C90)</f>
        <v/>
      </c>
    </row>
    <row r="92">
      <c r="A92" s="2" t="n">
        <v>44402</v>
      </c>
      <c r="B92" t="n">
        <v>4395.26</v>
      </c>
      <c r="C92" t="n">
        <v>145.86</v>
      </c>
      <c r="D92">
        <f>LN(B92/B91)</f>
        <v/>
      </c>
      <c r="E92">
        <f>LN(C92/C91)</f>
        <v/>
      </c>
    </row>
    <row r="93">
      <c r="A93" s="2" t="n">
        <v>44409</v>
      </c>
      <c r="B93" t="n">
        <v>4436.52</v>
      </c>
      <c r="C93" t="n">
        <v>146.14</v>
      </c>
      <c r="D93">
        <f>LN(B93/B92)</f>
        <v/>
      </c>
      <c r="E93">
        <f>LN(C93/C92)</f>
        <v/>
      </c>
    </row>
    <row r="94">
      <c r="A94" s="2" t="n">
        <v>44416</v>
      </c>
      <c r="B94" t="n">
        <v>4468</v>
      </c>
      <c r="C94" t="n">
        <v>149.1</v>
      </c>
      <c r="D94">
        <f>LN(B94/B93)</f>
        <v/>
      </c>
      <c r="E94">
        <f>LN(C94/C93)</f>
        <v/>
      </c>
    </row>
    <row r="95">
      <c r="A95" s="2" t="n">
        <v>44423</v>
      </c>
      <c r="B95" t="n">
        <v>4441.67</v>
      </c>
      <c r="C95" t="n">
        <v>148.19</v>
      </c>
      <c r="D95">
        <f>LN(B95/B94)</f>
        <v/>
      </c>
      <c r="E95">
        <f>LN(C95/C94)</f>
        <v/>
      </c>
    </row>
    <row r="96">
      <c r="A96" s="2" t="n">
        <v>44430</v>
      </c>
      <c r="B96" t="n">
        <v>4509.37</v>
      </c>
      <c r="C96" t="n">
        <v>148.6</v>
      </c>
      <c r="D96">
        <f>LN(B96/B95)</f>
        <v/>
      </c>
      <c r="E96">
        <f>LN(C96/C95)</f>
        <v/>
      </c>
    </row>
    <row r="97">
      <c r="A97" s="2" t="n">
        <v>44437</v>
      </c>
      <c r="B97" t="n">
        <v>4535.43</v>
      </c>
      <c r="C97" t="n">
        <v>154.3</v>
      </c>
      <c r="D97">
        <f>LN(B97/B96)</f>
        <v/>
      </c>
      <c r="E97">
        <f>LN(C97/C96)</f>
        <v/>
      </c>
    </row>
    <row r="98">
      <c r="A98" s="2" t="n">
        <v>44444</v>
      </c>
      <c r="B98" t="n">
        <v>4458.58</v>
      </c>
      <c r="C98" t="n">
        <v>148.97</v>
      </c>
      <c r="D98">
        <f>LN(B98/B97)</f>
        <v/>
      </c>
      <c r="E98">
        <f>LN(C98/C97)</f>
        <v/>
      </c>
    </row>
    <row r="99">
      <c r="A99" s="2" t="n">
        <v>44451</v>
      </c>
      <c r="B99" t="n">
        <v>4432.99</v>
      </c>
      <c r="C99" t="n">
        <v>146.06</v>
      </c>
      <c r="D99">
        <f>LN(B99/B98)</f>
        <v/>
      </c>
      <c r="E99">
        <f>LN(C99/C98)</f>
        <v/>
      </c>
    </row>
    <row r="100">
      <c r="A100" s="2" t="n">
        <v>44458</v>
      </c>
      <c r="B100" t="n">
        <v>4455.48</v>
      </c>
      <c r="C100" t="n">
        <v>146.92</v>
      </c>
      <c r="D100">
        <f>LN(B100/B99)</f>
        <v/>
      </c>
      <c r="E100">
        <f>LN(C100/C99)</f>
        <v/>
      </c>
    </row>
    <row r="101">
      <c r="A101" s="2" t="n">
        <v>44465</v>
      </c>
      <c r="B101" t="n">
        <v>4357.04</v>
      </c>
      <c r="C101" t="n">
        <v>142.65</v>
      </c>
      <c r="D101">
        <f>LN(B101/B100)</f>
        <v/>
      </c>
      <c r="E101">
        <f>LN(C101/C100)</f>
        <v/>
      </c>
    </row>
    <row r="102">
      <c r="A102" s="2" t="n">
        <v>44472</v>
      </c>
      <c r="B102" t="n">
        <v>4391.34</v>
      </c>
      <c r="C102" t="n">
        <v>142.9</v>
      </c>
      <c r="D102">
        <f>LN(B102/B101)</f>
        <v/>
      </c>
      <c r="E102">
        <f>LN(C102/C101)</f>
        <v/>
      </c>
    </row>
    <row r="103">
      <c r="A103" s="2" t="n">
        <v>44479</v>
      </c>
      <c r="B103" t="n">
        <v>4471.37</v>
      </c>
      <c r="C103" t="n">
        <v>144.84</v>
      </c>
      <c r="D103">
        <f>LN(B103/B102)</f>
        <v/>
      </c>
      <c r="E103">
        <f>LN(C103/C102)</f>
        <v/>
      </c>
    </row>
    <row r="104">
      <c r="A104" s="2" t="n">
        <v>44486</v>
      </c>
      <c r="B104" t="n">
        <v>4544.9</v>
      </c>
      <c r="C104" t="n">
        <v>148.69</v>
      </c>
      <c r="D104">
        <f>LN(B104/B103)</f>
        <v/>
      </c>
      <c r="E104">
        <f>LN(C104/C103)</f>
        <v/>
      </c>
    </row>
    <row r="105">
      <c r="A105" s="2" t="n">
        <v>44493</v>
      </c>
      <c r="B105" t="n">
        <v>4605.38</v>
      </c>
      <c r="C105" t="n">
        <v>149.8</v>
      </c>
      <c r="D105">
        <f>LN(B105/B104)</f>
        <v/>
      </c>
      <c r="E105">
        <f>LN(C105/C104)</f>
        <v/>
      </c>
    </row>
    <row r="106">
      <c r="A106" s="2" t="n">
        <v>44500</v>
      </c>
      <c r="B106" t="n">
        <v>4697.53</v>
      </c>
      <c r="C106" t="n">
        <v>151.28</v>
      </c>
      <c r="D106">
        <f>LN(B106/B105)</f>
        <v/>
      </c>
      <c r="E106">
        <f>LN(C106/C105)</f>
        <v/>
      </c>
    </row>
    <row r="107">
      <c r="A107" s="2" t="n">
        <v>44507</v>
      </c>
      <c r="B107" t="n">
        <v>4682.85</v>
      </c>
      <c r="C107" t="n">
        <v>149.99</v>
      </c>
      <c r="D107">
        <f>LN(B107/B106)</f>
        <v/>
      </c>
      <c r="E107">
        <f>LN(C107/C106)</f>
        <v/>
      </c>
    </row>
    <row r="108">
      <c r="A108" s="2" t="n">
        <v>44514</v>
      </c>
      <c r="B108" t="n">
        <v>4697.96</v>
      </c>
      <c r="C108" t="n">
        <v>160.55</v>
      </c>
      <c r="D108">
        <f>LN(B108/B107)</f>
        <v/>
      </c>
      <c r="E108">
        <f>LN(C108/C107)</f>
        <v/>
      </c>
    </row>
    <row r="109">
      <c r="A109" s="2" t="n">
        <v>44521</v>
      </c>
      <c r="B109" t="n">
        <v>4594.62</v>
      </c>
      <c r="C109" t="n">
        <v>156.81</v>
      </c>
      <c r="D109">
        <f>LN(B109/B108)</f>
        <v/>
      </c>
      <c r="E109">
        <f>LN(C109/C108)</f>
        <v/>
      </c>
    </row>
    <row r="110">
      <c r="A110" s="2" t="n">
        <v>44528</v>
      </c>
      <c r="B110" t="n">
        <v>4538.43</v>
      </c>
      <c r="C110" t="n">
        <v>161.84</v>
      </c>
      <c r="D110">
        <f>LN(B110/B109)</f>
        <v/>
      </c>
      <c r="E110">
        <f>LN(C110/C109)</f>
        <v/>
      </c>
    </row>
    <row r="111">
      <c r="A111" s="2" t="n">
        <v>44535</v>
      </c>
      <c r="B111" t="n">
        <v>4712.02</v>
      </c>
      <c r="C111" t="n">
        <v>179.45</v>
      </c>
      <c r="D111">
        <f>LN(B111/B110)</f>
        <v/>
      </c>
      <c r="E111">
        <f>LN(C111/C110)</f>
        <v/>
      </c>
    </row>
    <row r="112">
      <c r="A112" s="2" t="n">
        <v>44542</v>
      </c>
      <c r="B112" t="n">
        <v>4620.64</v>
      </c>
      <c r="C112" t="n">
        <v>171.14</v>
      </c>
      <c r="D112">
        <f>LN(B112/B111)</f>
        <v/>
      </c>
      <c r="E112">
        <f>LN(C112/C111)</f>
        <v/>
      </c>
    </row>
    <row r="113">
      <c r="A113" s="2" t="n">
        <v>44549</v>
      </c>
      <c r="B113" t="n">
        <v>4725.79</v>
      </c>
      <c r="C113" t="n">
        <v>176.28</v>
      </c>
      <c r="D113">
        <f>LN(B113/B112)</f>
        <v/>
      </c>
      <c r="E113">
        <f>LN(C113/C112)</f>
        <v/>
      </c>
    </row>
    <row r="114">
      <c r="A114" s="2" t="n">
        <v>44556</v>
      </c>
      <c r="B114" t="n">
        <v>4766.18</v>
      </c>
      <c r="C114" t="n">
        <v>177.57</v>
      </c>
      <c r="D114">
        <f>LN(B114/B113)</f>
        <v/>
      </c>
      <c r="E114">
        <f>LN(C114/C113)</f>
        <v/>
      </c>
    </row>
    <row r="115">
      <c r="A115" s="2" t="n">
        <v>44563</v>
      </c>
      <c r="B115" t="n">
        <v>4677.03</v>
      </c>
      <c r="C115" t="n">
        <v>172.17</v>
      </c>
      <c r="D115">
        <f>LN(B115/B114)</f>
        <v/>
      </c>
      <c r="E115">
        <f>LN(C115/C114)</f>
        <v/>
      </c>
    </row>
    <row r="116">
      <c r="A116" s="2" t="n">
        <v>44570</v>
      </c>
      <c r="B116" t="n">
        <v>4662.85</v>
      </c>
      <c r="C116" t="n">
        <v>173.07</v>
      </c>
      <c r="D116">
        <f>LN(B116/B115)</f>
        <v/>
      </c>
      <c r="E116">
        <f>LN(C116/C115)</f>
        <v/>
      </c>
    </row>
    <row r="117">
      <c r="A117" s="2" t="n">
        <v>44577</v>
      </c>
      <c r="B117" t="n">
        <v>4397.94</v>
      </c>
      <c r="C117" t="n">
        <v>162.41</v>
      </c>
      <c r="D117">
        <f>LN(B117/B116)</f>
        <v/>
      </c>
      <c r="E117">
        <f>LN(C117/C116)</f>
        <v/>
      </c>
    </row>
    <row r="118">
      <c r="A118" s="2" t="n">
        <v>44584</v>
      </c>
      <c r="B118" t="n">
        <v>4431.85</v>
      </c>
      <c r="C118" t="n">
        <v>170.33</v>
      </c>
      <c r="D118">
        <f>LN(B118/B117)</f>
        <v/>
      </c>
      <c r="E118">
        <f>LN(C118/C117)</f>
        <v/>
      </c>
    </row>
    <row r="119">
      <c r="A119" s="2" t="n">
        <v>44591</v>
      </c>
      <c r="B119" t="n">
        <v>4500.53</v>
      </c>
      <c r="C119" t="n">
        <v>172.39</v>
      </c>
      <c r="D119">
        <f>LN(B119/B118)</f>
        <v/>
      </c>
      <c r="E119">
        <f>LN(C119/C118)</f>
        <v/>
      </c>
    </row>
    <row r="120">
      <c r="A120" s="2" t="n">
        <v>44598</v>
      </c>
      <c r="B120" t="n">
        <v>4418.64</v>
      </c>
      <c r="C120" t="n">
        <v>168.64</v>
      </c>
      <c r="D120">
        <f>LN(B120/B119)</f>
        <v/>
      </c>
      <c r="E120">
        <f>LN(C120/C119)</f>
        <v/>
      </c>
    </row>
    <row r="121">
      <c r="A121" s="2" t="n">
        <v>44605</v>
      </c>
      <c r="B121" t="n">
        <v>4348.87</v>
      </c>
      <c r="C121" t="n">
        <v>167.3</v>
      </c>
      <c r="D121">
        <f>LN(B121/B120)</f>
        <v/>
      </c>
      <c r="E121">
        <f>LN(C121/C120)</f>
        <v/>
      </c>
    </row>
    <row r="122">
      <c r="A122" s="2" t="n">
        <v>44612</v>
      </c>
      <c r="B122" t="n">
        <v>4384.65</v>
      </c>
      <c r="C122" t="n">
        <v>164.85</v>
      </c>
      <c r="D122">
        <f>LN(B122/B121)</f>
        <v/>
      </c>
      <c r="E122">
        <f>LN(C122/C121)</f>
        <v/>
      </c>
    </row>
    <row r="123">
      <c r="A123" s="2" t="n">
        <v>44619</v>
      </c>
      <c r="B123" t="n">
        <v>4328.87</v>
      </c>
      <c r="C123" t="n">
        <v>163.17</v>
      </c>
      <c r="D123">
        <f>LN(B123/B122)</f>
        <v/>
      </c>
      <c r="E123">
        <f>LN(C123/C122)</f>
        <v/>
      </c>
    </row>
    <row r="124">
      <c r="A124" s="2" t="n">
        <v>44626</v>
      </c>
      <c r="B124" t="n">
        <v>4204.31</v>
      </c>
      <c r="C124" t="n">
        <v>154.73</v>
      </c>
      <c r="D124">
        <f>LN(B124/B123)</f>
        <v/>
      </c>
      <c r="E124">
        <f>LN(C124/C123)</f>
        <v/>
      </c>
    </row>
    <row r="125">
      <c r="A125" s="2" t="n">
        <v>44633</v>
      </c>
      <c r="B125" t="n">
        <v>4463.12</v>
      </c>
      <c r="C125" t="n">
        <v>163.98</v>
      </c>
      <c r="D125">
        <f>LN(B125/B124)</f>
        <v/>
      </c>
      <c r="E125">
        <f>LN(C125/C124)</f>
        <v/>
      </c>
    </row>
    <row r="126">
      <c r="A126" s="2" t="n">
        <v>44640</v>
      </c>
      <c r="B126" t="n">
        <v>4543.06</v>
      </c>
      <c r="C126" t="n">
        <v>174.72</v>
      </c>
      <c r="D126">
        <f>LN(B126/B125)</f>
        <v/>
      </c>
      <c r="E126">
        <f>LN(C126/C125)</f>
        <v/>
      </c>
    </row>
    <row r="127">
      <c r="A127" s="2" t="n">
        <v>44647</v>
      </c>
      <c r="B127" t="n">
        <v>4545.86</v>
      </c>
      <c r="C127" t="n">
        <v>174.31</v>
      </c>
      <c r="D127">
        <f>LN(B127/B126)</f>
        <v/>
      </c>
      <c r="E127">
        <f>LN(C127/C126)</f>
        <v/>
      </c>
    </row>
    <row r="128">
      <c r="A128" s="2" t="n">
        <v>44654</v>
      </c>
      <c r="B128" t="n">
        <v>4488.28</v>
      </c>
      <c r="C128" t="n">
        <v>170.09</v>
      </c>
      <c r="D128">
        <f>LN(B128/B127)</f>
        <v/>
      </c>
      <c r="E128">
        <f>LN(C128/C127)</f>
        <v/>
      </c>
    </row>
    <row r="129">
      <c r="A129" s="2" t="n">
        <v>44661</v>
      </c>
      <c r="B129" t="n">
        <v>4392.59</v>
      </c>
      <c r="C129" t="n">
        <v>165.29</v>
      </c>
      <c r="D129">
        <f>LN(B129/B128)</f>
        <v/>
      </c>
      <c r="E129">
        <f>LN(C129/C128)</f>
        <v/>
      </c>
    </row>
    <row r="130">
      <c r="A130" s="2" t="n">
        <v>44668</v>
      </c>
      <c r="B130" t="n">
        <v>4271.78</v>
      </c>
      <c r="C130" t="n">
        <v>161.79</v>
      </c>
      <c r="D130">
        <f>LN(B130/B129)</f>
        <v/>
      </c>
      <c r="E130">
        <f>LN(C130/C129)</f>
        <v/>
      </c>
    </row>
    <row r="131">
      <c r="A131" s="2" t="n">
        <v>44675</v>
      </c>
      <c r="B131" t="n">
        <v>4131.93</v>
      </c>
      <c r="C131" t="n">
        <v>157.65</v>
      </c>
      <c r="D131">
        <f>LN(B131/B130)</f>
        <v/>
      </c>
      <c r="E131">
        <f>LN(C131/C130)</f>
        <v/>
      </c>
    </row>
    <row r="132">
      <c r="A132" s="2" t="n">
        <v>44682</v>
      </c>
      <c r="B132" t="n">
        <v>4123.34</v>
      </c>
      <c r="C132" t="n">
        <v>157.28</v>
      </c>
      <c r="D132">
        <f>LN(B132/B131)</f>
        <v/>
      </c>
      <c r="E132">
        <f>LN(C132/C131)</f>
        <v/>
      </c>
    </row>
    <row r="133">
      <c r="A133" s="2" t="n">
        <v>44689</v>
      </c>
      <c r="B133" t="n">
        <v>4023.89</v>
      </c>
      <c r="C133" t="n">
        <v>147.11</v>
      </c>
      <c r="D133">
        <f>LN(B133/B132)</f>
        <v/>
      </c>
      <c r="E133">
        <f>LN(C133/C132)</f>
        <v/>
      </c>
    </row>
    <row r="134">
      <c r="A134" s="2" t="n">
        <v>44696</v>
      </c>
      <c r="B134" t="n">
        <v>3901.36</v>
      </c>
      <c r="C134" t="n">
        <v>137.59</v>
      </c>
      <c r="D134">
        <f>LN(B134/B133)</f>
        <v/>
      </c>
      <c r="E134">
        <f>LN(C134/C133)</f>
        <v/>
      </c>
    </row>
    <row r="135">
      <c r="A135" s="2" t="n">
        <v>44703</v>
      </c>
      <c r="B135" t="n">
        <v>4158.24</v>
      </c>
      <c r="C135" t="n">
        <v>149.64</v>
      </c>
      <c r="D135">
        <f>LN(B135/B134)</f>
        <v/>
      </c>
      <c r="E135">
        <f>LN(C135/C134)</f>
        <v/>
      </c>
    </row>
    <row r="136">
      <c r="A136" s="2" t="n">
        <v>44710</v>
      </c>
      <c r="B136" t="n">
        <v>4108.54</v>
      </c>
      <c r="C136" t="n">
        <v>145.38</v>
      </c>
      <c r="D136">
        <f>LN(B136/B135)</f>
        <v/>
      </c>
      <c r="E136">
        <f>LN(C136/C135)</f>
        <v/>
      </c>
    </row>
    <row r="137">
      <c r="A137" s="2" t="n">
        <v>44717</v>
      </c>
      <c r="B137" t="n">
        <v>3900.86</v>
      </c>
      <c r="C137" t="n">
        <v>137.13</v>
      </c>
      <c r="D137">
        <f>LN(B137/B136)</f>
        <v/>
      </c>
      <c r="E137">
        <f>LN(C137/C136)</f>
        <v/>
      </c>
    </row>
    <row r="138">
      <c r="A138" s="2" t="n">
        <v>44724</v>
      </c>
      <c r="B138" t="n">
        <v>3674.84</v>
      </c>
      <c r="C138" t="n">
        <v>131.56</v>
      </c>
      <c r="D138">
        <f>LN(B138/B137)</f>
        <v/>
      </c>
      <c r="E138">
        <f>LN(C138/C137)</f>
        <v/>
      </c>
    </row>
    <row r="139">
      <c r="A139" s="2" t="n">
        <v>44731</v>
      </c>
      <c r="B139" t="n">
        <v>3911.74</v>
      </c>
      <c r="C139" t="n">
        <v>141.66</v>
      </c>
      <c r="D139">
        <f>LN(B139/B138)</f>
        <v/>
      </c>
      <c r="E139">
        <f>LN(C139/C138)</f>
        <v/>
      </c>
    </row>
    <row r="140">
      <c r="A140" s="2" t="n">
        <v>44738</v>
      </c>
      <c r="B140" t="n">
        <v>3825.33</v>
      </c>
      <c r="C140" t="n">
        <v>138.93</v>
      </c>
      <c r="D140">
        <f>LN(B140/B139)</f>
        <v/>
      </c>
      <c r="E140">
        <f>LN(C140/C139)</f>
        <v/>
      </c>
    </row>
    <row r="141">
      <c r="A141" s="2" t="n">
        <v>44745</v>
      </c>
      <c r="B141" t="n">
        <v>3899.38</v>
      </c>
      <c r="C141" t="n">
        <v>147.04</v>
      </c>
      <c r="D141">
        <f>LN(B141/B140)</f>
        <v/>
      </c>
      <c r="E141">
        <f>LN(C141/C140)</f>
        <v/>
      </c>
    </row>
    <row r="142">
      <c r="A142" s="2" t="n">
        <v>44752</v>
      </c>
      <c r="B142" t="n">
        <v>3863.16</v>
      </c>
      <c r="C142" t="n">
        <v>150.17</v>
      </c>
      <c r="D142">
        <f>LN(B142/B141)</f>
        <v/>
      </c>
      <c r="E142">
        <f>LN(C142/C141)</f>
        <v/>
      </c>
    </row>
    <row r="143">
      <c r="A143" s="2" t="n">
        <v>44759</v>
      </c>
      <c r="B143" t="n">
        <v>3961.63</v>
      </c>
      <c r="C143" t="n">
        <v>154.09</v>
      </c>
      <c r="D143">
        <f>LN(B143/B142)</f>
        <v/>
      </c>
      <c r="E143">
        <f>LN(C143/C142)</f>
        <v/>
      </c>
    </row>
    <row r="144">
      <c r="A144" s="2" t="n">
        <v>44766</v>
      </c>
      <c r="B144" t="n">
        <v>4130.29</v>
      </c>
      <c r="C144" t="n">
        <v>162.51</v>
      </c>
      <c r="D144">
        <f>LN(B144/B143)</f>
        <v/>
      </c>
      <c r="E144">
        <f>LN(C144/C143)</f>
        <v/>
      </c>
    </row>
    <row r="145">
      <c r="A145" s="2" t="n">
        <v>44773</v>
      </c>
      <c r="B145" t="n">
        <v>4145.19</v>
      </c>
      <c r="C145" t="n">
        <v>165.35</v>
      </c>
      <c r="D145">
        <f>LN(B145/B144)</f>
        <v/>
      </c>
      <c r="E145">
        <f>LN(C145/C144)</f>
        <v/>
      </c>
    </row>
    <row r="146">
      <c r="A146" s="2" t="n">
        <v>44780</v>
      </c>
      <c r="B146" t="n">
        <v>4280.15</v>
      </c>
      <c r="C146" t="n">
        <v>172.1</v>
      </c>
      <c r="D146">
        <f>LN(B146/B145)</f>
        <v/>
      </c>
      <c r="E146">
        <f>LN(C146/C145)</f>
        <v/>
      </c>
    </row>
    <row r="147">
      <c r="A147" s="2" t="n">
        <v>44787</v>
      </c>
      <c r="B147" t="n">
        <v>4228.48</v>
      </c>
      <c r="C147" t="n">
        <v>171.52</v>
      </c>
      <c r="D147">
        <f>LN(B147/B146)</f>
        <v/>
      </c>
      <c r="E147">
        <f>LN(C147/C146)</f>
        <v/>
      </c>
    </row>
    <row r="148">
      <c r="A148" s="2" t="n">
        <v>44794</v>
      </c>
      <c r="B148" t="n">
        <v>4057.66</v>
      </c>
      <c r="C148" t="n">
        <v>163.62</v>
      </c>
      <c r="D148">
        <f>LN(B148/B147)</f>
        <v/>
      </c>
      <c r="E148">
        <f>LN(C148/C147)</f>
        <v/>
      </c>
    </row>
    <row r="149">
      <c r="A149" s="2" t="n">
        <v>44801</v>
      </c>
      <c r="B149" t="n">
        <v>3924.26</v>
      </c>
      <c r="C149" t="n">
        <v>155.81</v>
      </c>
      <c r="D149">
        <f>LN(B149/B148)</f>
        <v/>
      </c>
      <c r="E149">
        <f>LN(C149/C148)</f>
        <v/>
      </c>
    </row>
    <row r="150">
      <c r="A150" s="2" t="n">
        <v>44808</v>
      </c>
      <c r="B150" t="n">
        <v>4067.36</v>
      </c>
      <c r="C150" t="n">
        <v>157.37</v>
      </c>
      <c r="D150">
        <f>LN(B150/B149)</f>
        <v/>
      </c>
      <c r="E150">
        <f>LN(C150/C149)</f>
        <v/>
      </c>
    </row>
    <row r="151">
      <c r="A151" s="2" t="n">
        <v>44815</v>
      </c>
      <c r="B151" t="n">
        <v>3873.33</v>
      </c>
      <c r="C151" t="n">
        <v>150.7</v>
      </c>
      <c r="D151">
        <f>LN(B151/B150)</f>
        <v/>
      </c>
      <c r="E151">
        <f>LN(C151/C150)</f>
        <v/>
      </c>
    </row>
    <row r="152">
      <c r="A152" s="2" t="n">
        <v>44822</v>
      </c>
      <c r="B152" t="n">
        <v>3693.23</v>
      </c>
      <c r="C152" t="n">
        <v>150.43</v>
      </c>
      <c r="D152">
        <f>LN(B152/B151)</f>
        <v/>
      </c>
      <c r="E152">
        <f>LN(C152/C151)</f>
        <v/>
      </c>
    </row>
    <row r="153">
      <c r="A153" s="2" t="n">
        <v>44829</v>
      </c>
      <c r="B153" t="n">
        <v>3585.62</v>
      </c>
      <c r="C153" t="n">
        <v>138.2</v>
      </c>
      <c r="D153">
        <f>LN(B153/B152)</f>
        <v/>
      </c>
      <c r="E153">
        <f>LN(C153/C152)</f>
        <v/>
      </c>
    </row>
    <row r="154">
      <c r="A154" s="2" t="n">
        <v>44836</v>
      </c>
      <c r="B154" t="n">
        <v>3639.66</v>
      </c>
      <c r="C154" t="n">
        <v>140.09</v>
      </c>
      <c r="D154">
        <f>LN(B154/B153)</f>
        <v/>
      </c>
      <c r="E154">
        <f>LN(C154/C153)</f>
        <v/>
      </c>
    </row>
    <row r="155">
      <c r="A155" s="2" t="n">
        <v>44843</v>
      </c>
      <c r="B155" t="n">
        <v>3583.07</v>
      </c>
      <c r="C155" t="n">
        <v>138.38</v>
      </c>
      <c r="D155">
        <f>LN(B155/B154)</f>
        <v/>
      </c>
      <c r="E155">
        <f>LN(C155/C154)</f>
        <v/>
      </c>
    </row>
    <row r="156">
      <c r="A156" s="2" t="n">
        <v>44850</v>
      </c>
      <c r="B156" t="n">
        <v>3752.75</v>
      </c>
      <c r="C156" t="n">
        <v>147.27</v>
      </c>
      <c r="D156">
        <f>LN(B156/B155)</f>
        <v/>
      </c>
      <c r="E156">
        <f>LN(C156/C155)</f>
        <v/>
      </c>
    </row>
    <row r="157">
      <c r="A157" s="2" t="n">
        <v>44857</v>
      </c>
      <c r="B157" t="n">
        <v>3901.06</v>
      </c>
      <c r="C157" t="n">
        <v>155.74</v>
      </c>
      <c r="D157">
        <f>LN(B157/B156)</f>
        <v/>
      </c>
      <c r="E157">
        <f>LN(C157/C156)</f>
        <v/>
      </c>
    </row>
    <row r="158">
      <c r="A158" s="2" t="n">
        <v>44864</v>
      </c>
      <c r="B158" t="n">
        <v>3770.55</v>
      </c>
      <c r="C158" t="n">
        <v>138.38</v>
      </c>
      <c r="D158">
        <f>LN(B158/B157)</f>
        <v/>
      </c>
      <c r="E158">
        <f>LN(C158/C157)</f>
        <v/>
      </c>
    </row>
    <row r="159">
      <c r="A159" s="2" t="n">
        <v>44871</v>
      </c>
      <c r="B159" t="n">
        <v>3992.93</v>
      </c>
      <c r="C159" t="n">
        <v>149.7</v>
      </c>
      <c r="D159">
        <f>LN(B159/B158)</f>
        <v/>
      </c>
      <c r="E159">
        <f>LN(C159/C158)</f>
        <v/>
      </c>
    </row>
    <row r="160">
      <c r="A160" s="2" t="n">
        <v>44878</v>
      </c>
      <c r="B160" t="n">
        <v>3965.34</v>
      </c>
      <c r="C160" t="n">
        <v>151.29</v>
      </c>
      <c r="D160">
        <f>LN(B160/B159)</f>
        <v/>
      </c>
      <c r="E160">
        <f>LN(C160/C159)</f>
        <v/>
      </c>
    </row>
    <row r="161">
      <c r="A161" s="2" t="n">
        <v>44885</v>
      </c>
      <c r="B161" t="n">
        <v>4026.12</v>
      </c>
      <c r="C161" t="n">
        <v>148.11</v>
      </c>
      <c r="D161">
        <f>LN(B161/B160)</f>
        <v/>
      </c>
      <c r="E161">
        <f>LN(C161/C160)</f>
        <v/>
      </c>
    </row>
    <row r="162">
      <c r="A162" s="2" t="n">
        <v>44892</v>
      </c>
      <c r="B162" t="n">
        <v>4071.7</v>
      </c>
      <c r="C162" t="n">
        <v>147.81</v>
      </c>
      <c r="D162">
        <f>LN(B162/B161)</f>
        <v/>
      </c>
      <c r="E162">
        <f>LN(C162/C161)</f>
        <v/>
      </c>
    </row>
    <row r="163">
      <c r="A163" s="2" t="n">
        <v>44899</v>
      </c>
      <c r="B163" t="n">
        <v>3934.38</v>
      </c>
      <c r="C163" t="n">
        <v>142.16</v>
      </c>
      <c r="D163">
        <f>LN(B163/B162)</f>
        <v/>
      </c>
      <c r="E163">
        <f>LN(C163/C162)</f>
        <v/>
      </c>
    </row>
    <row r="164">
      <c r="A164" s="2" t="n">
        <v>44906</v>
      </c>
      <c r="B164" t="n">
        <v>3852.36</v>
      </c>
      <c r="C164" t="n">
        <v>134.51</v>
      </c>
      <c r="D164">
        <f>LN(B164/B163)</f>
        <v/>
      </c>
      <c r="E164">
        <f>LN(C164/C163)</f>
        <v/>
      </c>
    </row>
    <row r="165">
      <c r="A165" s="2" t="n">
        <v>44913</v>
      </c>
      <c r="B165" t="n">
        <v>3844.82</v>
      </c>
      <c r="C165" t="n">
        <v>131.86</v>
      </c>
      <c r="D165">
        <f>LN(B165/B164)</f>
        <v/>
      </c>
      <c r="E165">
        <f>LN(C165/C164)</f>
        <v/>
      </c>
    </row>
    <row r="166">
      <c r="A166" s="2" t="n">
        <v>44920</v>
      </c>
      <c r="B166" t="n">
        <v>3839.5</v>
      </c>
      <c r="C166" t="n">
        <v>129.93</v>
      </c>
      <c r="D166">
        <f>LN(B166/B165)</f>
        <v/>
      </c>
      <c r="E166">
        <f>LN(C166/C165)</f>
        <v/>
      </c>
    </row>
    <row r="167">
      <c r="A167" s="2" t="n">
        <v>44927</v>
      </c>
      <c r="B167" t="n">
        <v>3895.08</v>
      </c>
      <c r="C167" t="n">
        <v>129.62</v>
      </c>
      <c r="D167">
        <f>LN(B167/B166)</f>
        <v/>
      </c>
      <c r="E167">
        <f>LN(C167/C166)</f>
        <v/>
      </c>
    </row>
    <row r="168">
      <c r="A168" s="2" t="n">
        <v>44934</v>
      </c>
      <c r="B168" t="n">
        <v>3999.09</v>
      </c>
      <c r="C168" t="n">
        <v>134.76</v>
      </c>
      <c r="D168">
        <f>LN(B168/B167)</f>
        <v/>
      </c>
      <c r="E168">
        <f>LN(C168/C167)</f>
        <v/>
      </c>
    </row>
    <row r="169">
      <c r="A169" s="2" t="n">
        <v>44941</v>
      </c>
      <c r="B169" t="n">
        <v>3972.61</v>
      </c>
      <c r="C169" t="n">
        <v>137.87</v>
      </c>
      <c r="D169">
        <f>LN(B169/B168)</f>
        <v/>
      </c>
      <c r="E169">
        <f>LN(C169/C168)</f>
        <v/>
      </c>
    </row>
    <row r="170">
      <c r="A170" s="2" t="n">
        <v>44948</v>
      </c>
      <c r="B170" t="n">
        <v>4070.56</v>
      </c>
      <c r="C170" t="n">
        <v>145.93</v>
      </c>
      <c r="D170">
        <f>LN(B170/B169)</f>
        <v/>
      </c>
      <c r="E170">
        <f>LN(C170/C169)</f>
        <v/>
      </c>
    </row>
    <row r="171">
      <c r="A171" s="2" t="n">
        <v>44955</v>
      </c>
      <c r="B171" t="n">
        <v>4136.48</v>
      </c>
      <c r="C171" t="n">
        <v>154.5</v>
      </c>
      <c r="D171">
        <f>LN(B171/B170)</f>
        <v/>
      </c>
      <c r="E171">
        <f>LN(C171/C170)</f>
        <v/>
      </c>
    </row>
    <row r="172">
      <c r="A172" s="2" t="n">
        <v>44962</v>
      </c>
      <c r="B172" t="n">
        <v>4090.46</v>
      </c>
      <c r="C172" t="n">
        <v>151.01</v>
      </c>
      <c r="D172">
        <f>LN(B172/B171)</f>
        <v/>
      </c>
      <c r="E172">
        <f>LN(C172/C171)</f>
        <v/>
      </c>
    </row>
    <row r="173">
      <c r="A173" s="2" t="n">
        <v>44969</v>
      </c>
      <c r="B173" t="n">
        <v>4079.09</v>
      </c>
      <c r="C173" t="n">
        <v>152.55</v>
      </c>
      <c r="D173">
        <f>LN(B173/B172)</f>
        <v/>
      </c>
      <c r="E173">
        <f>LN(C173/C172)</f>
        <v/>
      </c>
    </row>
    <row r="174">
      <c r="A174" s="2" t="n">
        <v>44976</v>
      </c>
      <c r="B174" t="n">
        <v>3970.04</v>
      </c>
      <c r="C174" t="n">
        <v>146.71</v>
      </c>
      <c r="D174">
        <f>LN(B174/B173)</f>
        <v/>
      </c>
      <c r="E174">
        <f>LN(C174/C173)</f>
        <v/>
      </c>
    </row>
    <row r="175">
      <c r="A175" s="2" t="n">
        <v>44983</v>
      </c>
      <c r="B175" t="n">
        <v>4045.64</v>
      </c>
      <c r="C175" t="n">
        <v>151.03</v>
      </c>
      <c r="D175">
        <f>LN(B175/B174)</f>
        <v/>
      </c>
      <c r="E175">
        <f>LN(C175/C174)</f>
        <v/>
      </c>
    </row>
    <row r="176">
      <c r="A176" s="2" t="n">
        <v>44990</v>
      </c>
      <c r="B176" t="n">
        <v>3861.59</v>
      </c>
      <c r="C176" t="n">
        <v>148.5</v>
      </c>
      <c r="D176">
        <f>LN(B176/B175)</f>
        <v/>
      </c>
      <c r="E176">
        <f>LN(C176/C175)</f>
        <v/>
      </c>
    </row>
    <row r="177">
      <c r="A177" s="2" t="n">
        <v>44997</v>
      </c>
      <c r="B177" t="n">
        <v>3916.64</v>
      </c>
      <c r="C177" t="n">
        <v>155</v>
      </c>
      <c r="D177">
        <f>LN(B177/B176)</f>
        <v/>
      </c>
      <c r="E177">
        <f>LN(C177/C176)</f>
        <v/>
      </c>
    </row>
    <row r="178">
      <c r="A178" s="2" t="n">
        <v>45004</v>
      </c>
      <c r="B178" t="n">
        <v>3970.99</v>
      </c>
      <c r="C178" t="n">
        <v>160.25</v>
      </c>
      <c r="D178">
        <f>LN(B178/B177)</f>
        <v/>
      </c>
      <c r="E178">
        <f>LN(C178/C177)</f>
        <v/>
      </c>
    </row>
    <row r="179">
      <c r="A179" s="2" t="n">
        <v>45011</v>
      </c>
      <c r="B179" t="n">
        <v>4109.31</v>
      </c>
      <c r="C179" t="n">
        <v>164.9</v>
      </c>
      <c r="D179">
        <f>LN(B179/B178)</f>
        <v/>
      </c>
      <c r="E179">
        <f>LN(C179/C178)</f>
        <v/>
      </c>
    </row>
    <row r="180">
      <c r="A180" s="2" t="n">
        <v>45018</v>
      </c>
      <c r="B180" t="n">
        <v>4105.02</v>
      </c>
      <c r="C180" t="n">
        <v>164.66</v>
      </c>
      <c r="D180">
        <f>LN(B180/B179)</f>
        <v/>
      </c>
      <c r="E180">
        <f>LN(C180/C179)</f>
        <v/>
      </c>
    </row>
    <row r="181">
      <c r="A181" s="2" t="n">
        <v>45025</v>
      </c>
      <c r="B181" t="n">
        <v>4137.64</v>
      </c>
      <c r="C181" t="n">
        <v>165.21</v>
      </c>
      <c r="D181">
        <f>LN(B181/B180)</f>
        <v/>
      </c>
      <c r="E181">
        <f>LN(C181/C180)</f>
        <v/>
      </c>
    </row>
    <row r="182">
      <c r="A182" s="2" t="n">
        <v>45032</v>
      </c>
      <c r="B182" t="n">
        <v>4133.52</v>
      </c>
      <c r="C182" t="n">
        <v>165.02</v>
      </c>
      <c r="D182">
        <f>LN(B182/B181)</f>
        <v/>
      </c>
      <c r="E182">
        <f>LN(C182/C181)</f>
        <v/>
      </c>
    </row>
    <row r="183">
      <c r="A183" s="2" t="n">
        <v>45039</v>
      </c>
      <c r="B183" t="n">
        <v>4169.48</v>
      </c>
      <c r="C183" t="n">
        <v>169.68</v>
      </c>
      <c r="D183">
        <f>LN(B183/B182)</f>
        <v/>
      </c>
      <c r="E183">
        <f>LN(C183/C182)</f>
        <v/>
      </c>
    </row>
    <row r="184">
      <c r="A184" s="2" t="n">
        <v>45046</v>
      </c>
      <c r="B184" t="n">
        <v>4136.25</v>
      </c>
      <c r="C184" t="n">
        <v>173.57</v>
      </c>
      <c r="D184">
        <f>LN(B184/B183)</f>
        <v/>
      </c>
      <c r="E184">
        <f>LN(C184/C183)</f>
        <v/>
      </c>
    </row>
    <row r="185">
      <c r="A185" s="2" t="n">
        <v>45053</v>
      </c>
      <c r="B185" t="n">
        <v>4124.08</v>
      </c>
      <c r="C185" t="n">
        <v>172.57</v>
      </c>
      <c r="D185">
        <f>LN(B185/B184)</f>
        <v/>
      </c>
      <c r="E185">
        <f>LN(C185/C184)</f>
        <v/>
      </c>
    </row>
    <row r="186">
      <c r="A186" s="2" t="n">
        <v>45060</v>
      </c>
      <c r="B186" t="n">
        <v>4191.98</v>
      </c>
      <c r="C186" t="n">
        <v>175.16</v>
      </c>
      <c r="D186">
        <f>LN(B186/B185)</f>
        <v/>
      </c>
      <c r="E186">
        <f>LN(C186/C185)</f>
        <v/>
      </c>
    </row>
    <row r="187">
      <c r="A187" s="2" t="n">
        <v>45067</v>
      </c>
      <c r="B187" t="n">
        <v>4205.45</v>
      </c>
      <c r="C187" t="n">
        <v>175.43</v>
      </c>
      <c r="D187">
        <f>LN(B187/B186)</f>
        <v/>
      </c>
      <c r="E187">
        <f>LN(C187/C186)</f>
        <v/>
      </c>
    </row>
    <row r="188">
      <c r="A188" s="2" t="n">
        <v>45074</v>
      </c>
      <c r="B188" t="n">
        <v>4282.37</v>
      </c>
      <c r="C188" t="n">
        <v>180.95</v>
      </c>
      <c r="D188">
        <f>LN(B188/B187)</f>
        <v/>
      </c>
      <c r="E188">
        <f>LN(C188/C187)</f>
        <v/>
      </c>
    </row>
    <row r="189">
      <c r="A189" s="2" t="n">
        <v>45081</v>
      </c>
      <c r="B189" t="n">
        <v>4298.86</v>
      </c>
      <c r="C189" t="n">
        <v>180.96</v>
      </c>
      <c r="D189">
        <f>LN(B189/B188)</f>
        <v/>
      </c>
      <c r="E189">
        <f>LN(C189/C188)</f>
        <v/>
      </c>
    </row>
    <row r="190">
      <c r="A190" s="2" t="n">
        <v>45088</v>
      </c>
      <c r="B190" t="n">
        <v>4409.59</v>
      </c>
      <c r="C190" t="n">
        <v>184.92</v>
      </c>
      <c r="D190">
        <f>LN(B190/B189)</f>
        <v/>
      </c>
      <c r="E190">
        <f>LN(C190/C189)</f>
        <v/>
      </c>
    </row>
    <row r="191">
      <c r="A191" s="2" t="n">
        <v>45095</v>
      </c>
      <c r="B191" t="n">
        <v>4348.33</v>
      </c>
      <c r="C191" t="n">
        <v>186.68</v>
      </c>
      <c r="D191">
        <f>LN(B191/B190)</f>
        <v/>
      </c>
      <c r="E191">
        <f>LN(C191/C190)</f>
        <v/>
      </c>
    </row>
    <row r="192">
      <c r="A192" s="2" t="n">
        <v>45102</v>
      </c>
      <c r="B192" t="n">
        <v>4450.38</v>
      </c>
      <c r="C192" t="n">
        <v>193.97</v>
      </c>
      <c r="D192">
        <f>LN(B192/B191)</f>
        <v/>
      </c>
      <c r="E192">
        <f>LN(C192/C191)</f>
        <v/>
      </c>
    </row>
    <row r="193">
      <c r="A193" s="2" t="n">
        <v>45109</v>
      </c>
      <c r="B193" t="n">
        <v>4398.95</v>
      </c>
      <c r="C193" t="n">
        <v>190.68</v>
      </c>
      <c r="D193">
        <f>LN(B193/B192)</f>
        <v/>
      </c>
      <c r="E193">
        <f>LN(C193/C192)</f>
        <v/>
      </c>
    </row>
    <row r="194">
      <c r="A194" s="2" t="n">
        <v>45116</v>
      </c>
      <c r="B194" t="n">
        <v>4505.42</v>
      </c>
      <c r="C194" t="n">
        <v>190.69</v>
      </c>
      <c r="D194">
        <f>LN(B194/B193)</f>
        <v/>
      </c>
      <c r="E194">
        <f>LN(C194/C193)</f>
        <v/>
      </c>
    </row>
    <row r="195">
      <c r="A195" s="2" t="n">
        <v>45123</v>
      </c>
      <c r="B195" t="n">
        <v>4536.34</v>
      </c>
      <c r="C195" t="n">
        <v>191.94</v>
      </c>
      <c r="D195">
        <f>LN(B195/B194)</f>
        <v/>
      </c>
      <c r="E195">
        <f>LN(C195/C194)</f>
        <v/>
      </c>
    </row>
    <row r="196">
      <c r="A196" s="2" t="n">
        <v>45130</v>
      </c>
      <c r="B196" t="n">
        <v>4582.23</v>
      </c>
      <c r="C196" t="n">
        <v>195.83</v>
      </c>
      <c r="D196">
        <f>LN(B196/B195)</f>
        <v/>
      </c>
      <c r="E196">
        <f>LN(C196/C195)</f>
        <v/>
      </c>
    </row>
    <row r="197">
      <c r="A197" s="2" t="n">
        <v>45137</v>
      </c>
      <c r="B197" t="n">
        <v>4478.03</v>
      </c>
      <c r="C197" t="n">
        <v>181.99</v>
      </c>
      <c r="D197">
        <f>LN(B197/B196)</f>
        <v/>
      </c>
      <c r="E197">
        <f>LN(C197/C196)</f>
        <v/>
      </c>
    </row>
    <row r="198">
      <c r="A198" s="2" t="n">
        <v>45144</v>
      </c>
      <c r="B198" t="n">
        <v>4464.05</v>
      </c>
      <c r="C198" t="n">
        <v>177.79</v>
      </c>
      <c r="D198">
        <f>LN(B198/B197)</f>
        <v/>
      </c>
      <c r="E198">
        <f>LN(C198/C197)</f>
        <v/>
      </c>
    </row>
    <row r="199">
      <c r="A199" s="2" t="n">
        <v>45151</v>
      </c>
      <c r="B199" t="n">
        <v>4369.71</v>
      </c>
      <c r="C199" t="n">
        <v>174.49</v>
      </c>
      <c r="D199">
        <f>LN(B199/B198)</f>
        <v/>
      </c>
      <c r="E199">
        <f>LN(C199/C198)</f>
        <v/>
      </c>
    </row>
    <row r="200">
      <c r="A200" s="2" t="n">
        <v>45158</v>
      </c>
      <c r="B200" t="n">
        <v>4405.71</v>
      </c>
      <c r="C200" t="n">
        <v>178.61</v>
      </c>
      <c r="D200">
        <f>LN(B200/B199)</f>
        <v/>
      </c>
      <c r="E200">
        <f>LN(C200/C199)</f>
        <v/>
      </c>
    </row>
    <row r="201">
      <c r="A201" s="2" t="n">
        <v>45165</v>
      </c>
      <c r="B201" t="n">
        <v>4515.77</v>
      </c>
      <c r="C201" t="n">
        <v>189.46</v>
      </c>
      <c r="D201">
        <f>LN(B201/B200)</f>
        <v/>
      </c>
      <c r="E201">
        <f>LN(C201/C200)</f>
        <v/>
      </c>
    </row>
    <row r="202">
      <c r="A202" s="2" t="n">
        <v>45172</v>
      </c>
      <c r="B202" t="n">
        <v>4457.49</v>
      </c>
      <c r="C202" t="n">
        <v>178.18</v>
      </c>
      <c r="D202">
        <f>LN(B202/B201)</f>
        <v/>
      </c>
      <c r="E202">
        <f>LN(C202/C201)</f>
        <v/>
      </c>
    </row>
    <row r="203">
      <c r="A203" s="2" t="n">
        <v>45179</v>
      </c>
      <c r="B203" t="n">
        <v>4450.32</v>
      </c>
      <c r="C203" t="n">
        <v>175.01</v>
      </c>
      <c r="D203">
        <f>LN(B203/B202)</f>
        <v/>
      </c>
      <c r="E203">
        <f>LN(C203/C202)</f>
        <v/>
      </c>
    </row>
    <row r="204">
      <c r="A204" s="2" t="n">
        <v>45186</v>
      </c>
      <c r="B204" t="n">
        <v>4320.06</v>
      </c>
      <c r="C204" t="n">
        <v>174.79</v>
      </c>
      <c r="D204">
        <f>LN(B204/B203)</f>
        <v/>
      </c>
      <c r="E204">
        <f>LN(C204/C203)</f>
        <v/>
      </c>
    </row>
    <row r="205">
      <c r="A205" s="2" t="n">
        <v>45193</v>
      </c>
      <c r="B205" t="n">
        <v>4288.05</v>
      </c>
      <c r="C205" t="n">
        <v>171.21</v>
      </c>
      <c r="D205">
        <f>LN(B205/B204)</f>
        <v/>
      </c>
      <c r="E205">
        <f>LN(C205/C204)</f>
        <v/>
      </c>
    </row>
    <row r="206">
      <c r="A206" s="2" t="n">
        <v>45200</v>
      </c>
      <c r="B206" t="n">
        <v>4308.5</v>
      </c>
      <c r="C206" t="n">
        <v>177.49</v>
      </c>
      <c r="D206">
        <f>LN(B206/B205)</f>
        <v/>
      </c>
      <c r="E206">
        <f>LN(C206/C205)</f>
        <v/>
      </c>
    </row>
    <row r="207">
      <c r="A207" s="2" t="n">
        <v>45207</v>
      </c>
      <c r="B207" t="n">
        <v>4327.78</v>
      </c>
      <c r="C207" t="n">
        <v>178.85</v>
      </c>
      <c r="D207">
        <f>LN(B207/B206)</f>
        <v/>
      </c>
      <c r="E207">
        <f>LN(C207/C206)</f>
        <v/>
      </c>
    </row>
    <row r="208">
      <c r="A208" s="2" t="n">
        <v>45214</v>
      </c>
      <c r="B208" t="n">
        <v>4224.16</v>
      </c>
      <c r="C208" t="n">
        <v>172.88</v>
      </c>
      <c r="D208">
        <f>LN(B208/B207)</f>
        <v/>
      </c>
      <c r="E208">
        <f>LN(C208/C207)</f>
        <v/>
      </c>
    </row>
    <row r="209">
      <c r="A209" s="2" t="n">
        <v>45221</v>
      </c>
      <c r="B209" t="n">
        <v>4117.37</v>
      </c>
      <c r="C209" t="n">
        <v>168.22</v>
      </c>
      <c r="D209">
        <f>LN(B209/B208)</f>
        <v/>
      </c>
      <c r="E209">
        <f>LN(C209/C208)</f>
        <v/>
      </c>
    </row>
    <row r="210">
      <c r="A210" s="2" t="n">
        <v>45228</v>
      </c>
      <c r="B210" t="n">
        <v>4358.34</v>
      </c>
      <c r="C210" t="n">
        <v>176.65</v>
      </c>
      <c r="D210">
        <f>LN(B210/B209)</f>
        <v/>
      </c>
      <c r="E210">
        <f>LN(C210/C209)</f>
        <v/>
      </c>
    </row>
    <row r="211">
      <c r="A211" s="2" t="n">
        <v>45235</v>
      </c>
      <c r="B211" t="n">
        <v>4415.24</v>
      </c>
      <c r="C211" t="n">
        <v>186.4</v>
      </c>
      <c r="D211">
        <f>LN(B211/B210)</f>
        <v/>
      </c>
      <c r="E211">
        <f>LN(C211/C210)</f>
        <v/>
      </c>
    </row>
    <row r="212">
      <c r="A212" s="2" t="n">
        <v>45242</v>
      </c>
      <c r="B212" t="n">
        <v>4514.02</v>
      </c>
      <c r="C212" t="n">
        <v>189.69</v>
      </c>
      <c r="D212">
        <f>LN(B212/B211)</f>
        <v/>
      </c>
      <c r="E212">
        <f>LN(C212/C211)</f>
        <v/>
      </c>
    </row>
    <row r="213">
      <c r="A213" s="2" t="n">
        <v>45249</v>
      </c>
      <c r="B213" t="n">
        <v>4559.34</v>
      </c>
      <c r="C213" t="n">
        <v>189.97</v>
      </c>
      <c r="D213">
        <f>LN(B213/B212)</f>
        <v/>
      </c>
      <c r="E213">
        <f>LN(C213/C212)</f>
        <v/>
      </c>
    </row>
    <row r="214">
      <c r="A214" s="2" t="n">
        <v>45256</v>
      </c>
      <c r="B214" t="n">
        <v>4594.63</v>
      </c>
      <c r="C214" t="n">
        <v>191.24</v>
      </c>
      <c r="D214">
        <f>LN(B214/B213)</f>
        <v/>
      </c>
      <c r="E214">
        <f>LN(C214/C213)</f>
        <v/>
      </c>
    </row>
    <row r="215">
      <c r="A215" s="2" t="n">
        <v>45263</v>
      </c>
      <c r="B215" t="n">
        <v>4604.37</v>
      </c>
      <c r="C215" t="n">
        <v>195.71</v>
      </c>
      <c r="D215">
        <f>LN(B215/B214)</f>
        <v/>
      </c>
      <c r="E215">
        <f>LN(C215/C214)</f>
        <v/>
      </c>
    </row>
    <row r="216">
      <c r="A216" s="2" t="n">
        <v>45270</v>
      </c>
      <c r="B216" t="n">
        <v>4719.19</v>
      </c>
      <c r="C216" t="n">
        <v>197.57</v>
      </c>
      <c r="D216">
        <f>LN(B216/B215)</f>
        <v/>
      </c>
      <c r="E216">
        <f>LN(C216/C215)</f>
        <v/>
      </c>
    </row>
    <row r="217">
      <c r="A217" s="2" t="n">
        <v>45277</v>
      </c>
      <c r="B217" t="n">
        <v>4754.63</v>
      </c>
      <c r="C217" t="n">
        <v>193.6</v>
      </c>
      <c r="D217">
        <f>LN(B217/B216)</f>
        <v/>
      </c>
      <c r="E217">
        <f>LN(C217/C216)</f>
        <v/>
      </c>
    </row>
    <row r="218">
      <c r="A218" s="2" t="n">
        <v>45284</v>
      </c>
      <c r="B218" t="n">
        <v>4769.83</v>
      </c>
      <c r="C218" t="n">
        <v>192.53</v>
      </c>
      <c r="D218">
        <f>LN(B218/B217)</f>
        <v/>
      </c>
      <c r="E218">
        <f>LN(C218/C217)</f>
        <v/>
      </c>
    </row>
    <row r="219">
      <c r="A219" s="2" t="n">
        <v>45291</v>
      </c>
      <c r="B219" t="n">
        <v>4697.24</v>
      </c>
      <c r="C219" t="n">
        <v>181.18</v>
      </c>
      <c r="D219">
        <f>LN(B219/B218)</f>
        <v/>
      </c>
      <c r="E219">
        <f>LN(C219/C218)</f>
        <v/>
      </c>
    </row>
    <row r="220">
      <c r="A220" s="2" t="n">
        <v>45298</v>
      </c>
      <c r="B220" t="n">
        <v>4783.83</v>
      </c>
      <c r="C220" t="n">
        <v>185.92</v>
      </c>
      <c r="D220">
        <f>LN(B220/B219)</f>
        <v/>
      </c>
      <c r="E220">
        <f>LN(C220/C219)</f>
        <v/>
      </c>
    </row>
    <row r="221">
      <c r="A221" s="2" t="n">
        <v>45305</v>
      </c>
      <c r="B221" t="n">
        <v>4839.81</v>
      </c>
      <c r="C221" t="n">
        <v>191.56</v>
      </c>
      <c r="D221">
        <f>LN(B221/B220)</f>
        <v/>
      </c>
      <c r="E221">
        <f>LN(C221/C220)</f>
        <v/>
      </c>
    </row>
    <row r="222">
      <c r="A222" s="2" t="n">
        <v>45312</v>
      </c>
      <c r="B222" t="n">
        <v>4890.97</v>
      </c>
      <c r="C222" t="n">
        <v>192.42</v>
      </c>
      <c r="D222">
        <f>LN(B222/B221)</f>
        <v/>
      </c>
      <c r="E222">
        <f>LN(C222/C221)</f>
        <v/>
      </c>
    </row>
    <row r="223">
      <c r="A223" s="2" t="n">
        <v>45319</v>
      </c>
      <c r="B223" t="n">
        <v>4958.61</v>
      </c>
      <c r="C223" t="n">
        <v>185.85</v>
      </c>
      <c r="D223">
        <f>LN(B223/B222)</f>
        <v/>
      </c>
      <c r="E223">
        <f>LN(C223/C222)</f>
        <v/>
      </c>
    </row>
    <row r="224">
      <c r="A224" s="2" t="n">
        <v>45326</v>
      </c>
      <c r="B224" t="n">
        <v>5026.61</v>
      </c>
      <c r="C224" t="n">
        <v>188.85</v>
      </c>
      <c r="D224">
        <f>LN(B224/B223)</f>
        <v/>
      </c>
      <c r="E224">
        <f>LN(C224/C223)</f>
        <v/>
      </c>
    </row>
    <row r="225">
      <c r="A225" s="2" t="n">
        <v>45333</v>
      </c>
      <c r="B225" t="n">
        <v>5005.57</v>
      </c>
      <c r="C225" t="n">
        <v>182.31</v>
      </c>
      <c r="D225">
        <f>LN(B225/B224)</f>
        <v/>
      </c>
      <c r="E225">
        <f>LN(C225/C224)</f>
        <v/>
      </c>
    </row>
    <row r="226">
      <c r="A226" s="2" t="n">
        <v>45340</v>
      </c>
      <c r="B226" t="n">
        <v>5088.8</v>
      </c>
      <c r="C226" t="n">
        <v>182.52</v>
      </c>
      <c r="D226">
        <f>LN(B226/B225)</f>
        <v/>
      </c>
      <c r="E226">
        <f>LN(C226/C225)</f>
        <v/>
      </c>
    </row>
    <row r="227">
      <c r="A227" s="2" t="n">
        <v>45347</v>
      </c>
      <c r="B227" t="n">
        <v>5137.08</v>
      </c>
      <c r="C227" t="n">
        <v>179.66</v>
      </c>
      <c r="D227">
        <f>LN(B227/B226)</f>
        <v/>
      </c>
      <c r="E227">
        <f>LN(C227/C226)</f>
        <v/>
      </c>
    </row>
    <row r="228">
      <c r="A228" s="2" t="n">
        <v>45354</v>
      </c>
      <c r="B228" t="n">
        <v>5123.69</v>
      </c>
      <c r="C228" t="n">
        <v>170.73</v>
      </c>
      <c r="D228">
        <f>LN(B228/B227)</f>
        <v/>
      </c>
      <c r="E228">
        <f>LN(C228/C227)</f>
        <v/>
      </c>
    </row>
    <row r="229">
      <c r="A229" s="2" t="n">
        <v>45361</v>
      </c>
      <c r="B229" t="n">
        <v>5117.09</v>
      </c>
      <c r="C229" t="n">
        <v>172.62</v>
      </c>
      <c r="D229">
        <f>LN(B229/B228)</f>
        <v/>
      </c>
      <c r="E229">
        <f>LN(C229/C228)</f>
        <v/>
      </c>
    </row>
    <row r="230">
      <c r="A230" s="2" t="n">
        <v>45368</v>
      </c>
      <c r="B230" t="n">
        <v>5234.18</v>
      </c>
      <c r="C230" t="n">
        <v>172.28</v>
      </c>
      <c r="D230">
        <f>LN(B230/B229)</f>
        <v/>
      </c>
      <c r="E230">
        <f>LN(C230/C229)</f>
        <v/>
      </c>
    </row>
    <row r="231">
      <c r="A231" s="2" t="n">
        <v>45375</v>
      </c>
      <c r="B231" t="n">
        <v>5254.35</v>
      </c>
      <c r="C231" t="n">
        <v>171.48</v>
      </c>
      <c r="D231">
        <f>LN(B231/B230)</f>
        <v/>
      </c>
      <c r="E231">
        <f>LN(C231/C230)</f>
        <v/>
      </c>
    </row>
    <row r="232">
      <c r="A232" s="2" t="n">
        <v>45382</v>
      </c>
      <c r="B232" t="n">
        <v>5204.34</v>
      </c>
      <c r="C232" t="n">
        <v>169.58</v>
      </c>
      <c r="D232">
        <f>LN(B232/B231)</f>
        <v/>
      </c>
      <c r="E232">
        <f>LN(C232/C231)</f>
        <v/>
      </c>
    </row>
    <row r="233">
      <c r="A233" s="2" t="n">
        <v>45389</v>
      </c>
      <c r="B233" t="n">
        <v>5123.41</v>
      </c>
      <c r="C233" t="n">
        <v>176.55</v>
      </c>
      <c r="D233">
        <f>LN(B233/B232)</f>
        <v/>
      </c>
      <c r="E233">
        <f>LN(C233/C232)</f>
        <v/>
      </c>
    </row>
    <row r="234">
      <c r="A234" s="2" t="n">
        <v>45396</v>
      </c>
      <c r="B234" t="n">
        <v>4967.23</v>
      </c>
      <c r="C234" t="n">
        <v>165</v>
      </c>
      <c r="D234">
        <f>LN(B234/B233)</f>
        <v/>
      </c>
      <c r="E234">
        <f>LN(C234/C233)</f>
        <v/>
      </c>
    </row>
    <row r="235">
      <c r="A235" s="2" t="n">
        <v>45403</v>
      </c>
      <c r="B235" t="n">
        <v>5099.96</v>
      </c>
      <c r="C235" t="n">
        <v>169.3</v>
      </c>
      <c r="D235">
        <f>LN(B235/B234)</f>
        <v/>
      </c>
      <c r="E235">
        <f>LN(C235/C234)</f>
        <v/>
      </c>
    </row>
    <row r="236">
      <c r="A236" s="2" t="n">
        <v>45410</v>
      </c>
      <c r="B236" t="n">
        <v>5127.79</v>
      </c>
      <c r="C236" t="n">
        <v>183.38</v>
      </c>
      <c r="D236">
        <f>LN(B236/B235)</f>
        <v/>
      </c>
      <c r="E236">
        <f>LN(C236/C235)</f>
        <v/>
      </c>
    </row>
    <row r="237">
      <c r="A237" s="2" t="n">
        <v>45417</v>
      </c>
      <c r="B237" t="n">
        <v>5222.68</v>
      </c>
      <c r="C237" t="n">
        <v>183.05</v>
      </c>
      <c r="D237">
        <f>LN(B237/B236)</f>
        <v/>
      </c>
      <c r="E237">
        <f>LN(C237/C236)</f>
        <v/>
      </c>
    </row>
    <row r="238">
      <c r="A238" s="2" t="n">
        <v>45424</v>
      </c>
      <c r="B238" t="n">
        <v>5303.27</v>
      </c>
      <c r="C238" t="n">
        <v>189.87</v>
      </c>
      <c r="D238">
        <f>LN(B238/B237)</f>
        <v/>
      </c>
      <c r="E238">
        <f>LN(C238/C237)</f>
        <v/>
      </c>
    </row>
    <row r="239">
      <c r="A239" s="2" t="n">
        <v>45431</v>
      </c>
      <c r="B239" t="n">
        <v>5304.72</v>
      </c>
      <c r="C239" t="n">
        <v>189.98</v>
      </c>
      <c r="D239">
        <f>LN(B239/B238)</f>
        <v/>
      </c>
      <c r="E239">
        <f>LN(C239/C238)</f>
        <v/>
      </c>
    </row>
    <row r="240">
      <c r="A240" s="2" t="n">
        <v>45438</v>
      </c>
      <c r="B240" t="n">
        <v>5277.51</v>
      </c>
      <c r="C240" t="n">
        <v>192.25</v>
      </c>
      <c r="D240">
        <f>LN(B240/B239)</f>
        <v/>
      </c>
      <c r="E240">
        <f>LN(C240/C239)</f>
        <v/>
      </c>
    </row>
    <row r="241">
      <c r="A241" s="2" t="n">
        <v>45445</v>
      </c>
      <c r="B241" t="n">
        <v>5346.99</v>
      </c>
      <c r="C241" t="n">
        <v>196.89</v>
      </c>
      <c r="D241">
        <f>LN(B241/B240)</f>
        <v/>
      </c>
      <c r="E241">
        <f>LN(C241/C240)</f>
        <v/>
      </c>
    </row>
    <row r="242">
      <c r="A242" s="2" t="n">
        <v>45452</v>
      </c>
      <c r="B242" t="n">
        <v>5431.6</v>
      </c>
      <c r="C242" t="n">
        <v>212.49</v>
      </c>
      <c r="D242">
        <f>LN(B242/B241)</f>
        <v/>
      </c>
      <c r="E242">
        <f>LN(C242/C241)</f>
        <v/>
      </c>
    </row>
    <row r="243">
      <c r="A243" s="2" t="n">
        <v>45459</v>
      </c>
      <c r="B243" t="n">
        <v>5464.62</v>
      </c>
      <c r="C243" t="n">
        <v>207.49</v>
      </c>
      <c r="D243">
        <f>LN(B243/B242)</f>
        <v/>
      </c>
      <c r="E243">
        <f>LN(C243/C242)</f>
        <v/>
      </c>
    </row>
    <row r="244">
      <c r="A244" s="2" t="n">
        <v>45466</v>
      </c>
      <c r="B244" t="n">
        <v>5460.48</v>
      </c>
      <c r="C244" t="n">
        <v>210.62</v>
      </c>
      <c r="D244">
        <f>LN(B244/B243)</f>
        <v/>
      </c>
      <c r="E244">
        <f>LN(C244/C243)</f>
        <v/>
      </c>
    </row>
    <row r="245">
      <c r="A245" s="2" t="n">
        <v>45473</v>
      </c>
      <c r="B245" t="n">
        <v>5567.19</v>
      </c>
      <c r="C245" t="n">
        <v>226.34</v>
      </c>
      <c r="D245">
        <f>LN(B245/B244)</f>
        <v/>
      </c>
      <c r="E245">
        <f>LN(C245/C244)</f>
        <v/>
      </c>
    </row>
    <row r="246">
      <c r="A246" s="2" t="n">
        <v>45480</v>
      </c>
      <c r="B246" t="n">
        <v>5615.35</v>
      </c>
      <c r="C246" t="n">
        <v>230.54</v>
      </c>
      <c r="D246">
        <f>LN(B246/B245)</f>
        <v/>
      </c>
      <c r="E246">
        <f>LN(C246/C245)</f>
        <v/>
      </c>
    </row>
    <row r="247">
      <c r="A247" s="2" t="n">
        <v>45487</v>
      </c>
      <c r="B247" t="n">
        <v>5505</v>
      </c>
      <c r="C247" t="n">
        <v>224.31</v>
      </c>
      <c r="D247">
        <f>LN(B247/B246)</f>
        <v/>
      </c>
      <c r="E247">
        <f>LN(C247/C246)</f>
        <v/>
      </c>
    </row>
    <row r="248">
      <c r="A248" s="2" t="n">
        <v>45494</v>
      </c>
      <c r="B248" t="n">
        <v>5459.1</v>
      </c>
      <c r="C248" t="n">
        <v>217.96</v>
      </c>
      <c r="D248">
        <f>LN(B248/B247)</f>
        <v/>
      </c>
      <c r="E248">
        <f>LN(C248/C247)</f>
        <v/>
      </c>
    </row>
    <row r="249">
      <c r="A249" s="2" t="n">
        <v>45501</v>
      </c>
      <c r="B249" t="n">
        <v>5346.56</v>
      </c>
      <c r="C249" t="n">
        <v>219.86</v>
      </c>
      <c r="D249">
        <f>LN(B249/B248)</f>
        <v/>
      </c>
      <c r="E249">
        <f>LN(C249/C248)</f>
        <v/>
      </c>
    </row>
    <row r="250">
      <c r="A250" s="2" t="n">
        <v>45508</v>
      </c>
      <c r="B250" t="n">
        <v>5344.16</v>
      </c>
      <c r="C250" t="n">
        <v>216.24</v>
      </c>
      <c r="D250">
        <f>LN(B250/B249)</f>
        <v/>
      </c>
      <c r="E250">
        <f>LN(C250/C249)</f>
        <v/>
      </c>
    </row>
    <row r="251">
      <c r="A251" s="2" t="n">
        <v>45515</v>
      </c>
      <c r="B251" t="n">
        <v>5554.25</v>
      </c>
      <c r="C251" t="n">
        <v>226.05</v>
      </c>
      <c r="D251">
        <f>LN(B251/B250)</f>
        <v/>
      </c>
      <c r="E251">
        <f>LN(C251/C250)</f>
        <v/>
      </c>
    </row>
    <row r="252">
      <c r="A252" s="2" t="n">
        <v>45522</v>
      </c>
      <c r="B252" t="n">
        <v>5634.61</v>
      </c>
      <c r="C252" t="n">
        <v>226.84</v>
      </c>
      <c r="D252">
        <f>LN(B252/B251)</f>
        <v/>
      </c>
      <c r="E252">
        <f>LN(C252/C251)</f>
        <v/>
      </c>
    </row>
    <row r="253">
      <c r="A253" s="2" t="n">
        <v>45529</v>
      </c>
      <c r="B253" t="n">
        <v>5648.4</v>
      </c>
      <c r="C253" t="n">
        <v>229</v>
      </c>
      <c r="D253">
        <f>LN(B253/B252)</f>
        <v/>
      </c>
      <c r="E253">
        <f>LN(C253/C252)</f>
        <v/>
      </c>
    </row>
    <row r="254">
      <c r="A254" s="2" t="n">
        <v>45536</v>
      </c>
      <c r="B254" t="n">
        <v>5408.42</v>
      </c>
      <c r="C254" t="n">
        <v>220.82</v>
      </c>
      <c r="D254">
        <f>LN(B254/B253)</f>
        <v/>
      </c>
      <c r="E254">
        <f>LN(C254/C253)</f>
        <v/>
      </c>
    </row>
    <row r="255">
      <c r="A255" s="2" t="n">
        <v>45543</v>
      </c>
      <c r="B255" t="n">
        <v>5626.02</v>
      </c>
      <c r="C255" t="n">
        <v>222.5</v>
      </c>
      <c r="D255">
        <f>LN(B255/B254)</f>
        <v/>
      </c>
      <c r="E255">
        <f>LN(C255/C254)</f>
        <v/>
      </c>
    </row>
    <row r="256">
      <c r="A256" s="2" t="n">
        <v>45550</v>
      </c>
      <c r="B256" t="n">
        <v>5702.55</v>
      </c>
      <c r="C256" t="n">
        <v>228.2</v>
      </c>
      <c r="D256">
        <f>LN(B256/B255)</f>
        <v/>
      </c>
      <c r="E256">
        <f>LN(C256/C255)</f>
        <v/>
      </c>
    </row>
    <row r="257">
      <c r="A257" s="2" t="n">
        <v>45557</v>
      </c>
      <c r="B257" t="n">
        <v>5738.17</v>
      </c>
      <c r="C257" t="n">
        <v>227.79</v>
      </c>
      <c r="D257">
        <f>LN(B257/B256)</f>
        <v/>
      </c>
      <c r="E257">
        <f>LN(C257/C256)</f>
        <v/>
      </c>
    </row>
    <row r="258">
      <c r="A258" s="2" t="n">
        <v>45564</v>
      </c>
      <c r="B258" t="n">
        <v>5751.07</v>
      </c>
      <c r="C258" t="n">
        <v>226.8</v>
      </c>
      <c r="D258">
        <f>LN(B258/B257)</f>
        <v/>
      </c>
      <c r="E258">
        <f>LN(C258/C257)</f>
        <v/>
      </c>
    </row>
    <row r="259">
      <c r="A259" s="2" t="n">
        <v>45571</v>
      </c>
      <c r="B259" t="n">
        <v>5815.03</v>
      </c>
      <c r="C259" t="n">
        <v>227.55</v>
      </c>
      <c r="D259">
        <f>LN(B259/B258)</f>
        <v/>
      </c>
      <c r="E259">
        <f>LN(C259/C258)</f>
        <v/>
      </c>
    </row>
    <row r="260">
      <c r="A260" s="2" t="n">
        <v>45578</v>
      </c>
      <c r="B260" t="n">
        <v>5864.67</v>
      </c>
      <c r="C260" t="n">
        <v>235</v>
      </c>
      <c r="D260">
        <f>LN(B260/B259)</f>
        <v/>
      </c>
      <c r="E260">
        <f>LN(C260/C259)</f>
        <v/>
      </c>
    </row>
    <row r="261">
      <c r="A261" s="2" t="n">
        <v>45585</v>
      </c>
      <c r="B261" t="n">
        <v>5808.12</v>
      </c>
      <c r="C261" t="n">
        <v>231.41</v>
      </c>
      <c r="D261">
        <f>LN(B261/B260)</f>
        <v/>
      </c>
      <c r="E261">
        <f>LN(C261/C260)</f>
        <v/>
      </c>
    </row>
    <row r="262">
      <c r="A262" s="2" t="n">
        <v>45592</v>
      </c>
      <c r="B262" t="n">
        <v>5728.8</v>
      </c>
      <c r="C262" t="n">
        <v>222.91</v>
      </c>
      <c r="D262">
        <f>LN(B262/B261)</f>
        <v/>
      </c>
      <c r="E262">
        <f>LN(C262/C261)</f>
        <v/>
      </c>
    </row>
    <row r="263">
      <c r="A263" s="2" t="n">
        <v>45599</v>
      </c>
      <c r="B263" t="n">
        <v>5995.54</v>
      </c>
      <c r="C263" t="n">
        <v>226.96</v>
      </c>
      <c r="D263">
        <f>LN(B263/B262)</f>
        <v/>
      </c>
      <c r="E263">
        <f>LN(C263/C262)</f>
        <v/>
      </c>
    </row>
    <row r="264">
      <c r="A264" s="2" t="n">
        <v>45606</v>
      </c>
      <c r="B264" t="n">
        <v>5870.62</v>
      </c>
      <c r="C264" t="n">
        <v>225</v>
      </c>
      <c r="D264">
        <f>LN(B264/B263)</f>
        <v/>
      </c>
      <c r="E264">
        <f>LN(C264/C263)</f>
        <v/>
      </c>
    </row>
    <row r="265">
      <c r="A265" s="2" t="n">
        <v>45613</v>
      </c>
      <c r="B265" t="n">
        <v>5969.34</v>
      </c>
      <c r="C265" t="n">
        <v>229.87</v>
      </c>
      <c r="D265">
        <f>LN(B265/B264)</f>
        <v/>
      </c>
      <c r="E265">
        <f>LN(C265/C264)</f>
        <v/>
      </c>
    </row>
    <row r="266">
      <c r="A266" s="2" t="n">
        <v>45620</v>
      </c>
      <c r="B266" t="n">
        <v>6032.38</v>
      </c>
      <c r="C266" t="n">
        <v>237.33</v>
      </c>
      <c r="D266">
        <f>LN(B266/B265)</f>
        <v/>
      </c>
      <c r="E266">
        <f>LN(C266/C265)</f>
        <v/>
      </c>
    </row>
    <row r="267">
      <c r="A267" s="2" t="n">
        <v>45627</v>
      </c>
      <c r="B267" t="n">
        <v>6090.27</v>
      </c>
      <c r="C267" t="n">
        <v>242.84</v>
      </c>
      <c r="D267">
        <f>LN(B267/B266)</f>
        <v/>
      </c>
      <c r="E267">
        <f>LN(C267/C266)</f>
        <v/>
      </c>
    </row>
    <row r="268">
      <c r="A268" s="2" t="n">
        <v>45634</v>
      </c>
      <c r="B268" t="n">
        <v>6051.09</v>
      </c>
      <c r="C268" t="n">
        <v>248.13</v>
      </c>
      <c r="D268">
        <f>LN(B268/B267)</f>
        <v/>
      </c>
      <c r="E268">
        <f>LN(C268/C267)</f>
        <v/>
      </c>
    </row>
    <row r="269">
      <c r="A269" s="2" t="n">
        <v>45641</v>
      </c>
      <c r="B269" t="n">
        <v>5930.85</v>
      </c>
      <c r="C269" t="n">
        <v>254.49</v>
      </c>
      <c r="D269">
        <f>LN(B269/B268)</f>
        <v/>
      </c>
      <c r="E269">
        <f>LN(C269/C268)</f>
        <v/>
      </c>
    </row>
    <row r="270">
      <c r="A270" s="2" t="n">
        <v>45648</v>
      </c>
      <c r="B270" t="n">
        <v>5970.84</v>
      </c>
      <c r="C270" t="n">
        <v>255.59</v>
      </c>
      <c r="D270">
        <f>LN(B270/B269)</f>
        <v/>
      </c>
      <c r="E270">
        <f>LN(C270/C269)</f>
        <v/>
      </c>
    </row>
    <row r="271">
      <c r="A271" s="2" t="n">
        <v>45655</v>
      </c>
      <c r="B271" t="n">
        <v>5942.47</v>
      </c>
      <c r="C271" t="n">
        <v>243.36</v>
      </c>
      <c r="D271">
        <f>LN(B271/B270)</f>
        <v/>
      </c>
      <c r="E271">
        <f>LN(C271/C270)</f>
        <v/>
      </c>
    </row>
    <row r="272">
      <c r="A272" s="2" t="n">
        <v>45662</v>
      </c>
      <c r="B272" t="n">
        <v>5827.04</v>
      </c>
      <c r="C272" t="n">
        <v>236.85</v>
      </c>
      <c r="D272">
        <f>LN(B272/B271)</f>
        <v/>
      </c>
      <c r="E272">
        <f>LN(C272/C271)</f>
        <v/>
      </c>
    </row>
    <row r="273">
      <c r="A273" s="2" t="n">
        <v>45669</v>
      </c>
      <c r="B273" t="n">
        <v>5996.66</v>
      </c>
      <c r="C273" t="n">
        <v>229.98</v>
      </c>
      <c r="D273">
        <f>LN(B273/B272)</f>
        <v/>
      </c>
      <c r="E273">
        <f>LN(C273/C272)</f>
        <v/>
      </c>
    </row>
    <row r="274">
      <c r="A274" s="2" t="n">
        <v>45676</v>
      </c>
      <c r="B274" t="n">
        <v>6101.24</v>
      </c>
      <c r="C274" t="n">
        <v>222.78</v>
      </c>
      <c r="D274">
        <f>LN(B274/B273)</f>
        <v/>
      </c>
      <c r="E274">
        <f>LN(C274/C273)</f>
        <v/>
      </c>
    </row>
    <row r="275">
      <c r="A275" s="2" t="n">
        <v>45683</v>
      </c>
      <c r="B275" t="n">
        <v>6040.53</v>
      </c>
      <c r="C275" t="n">
        <v>236</v>
      </c>
      <c r="D275">
        <f>LN(B275/B274)</f>
        <v/>
      </c>
      <c r="E275">
        <f>LN(C275/C274)</f>
        <v/>
      </c>
    </row>
    <row r="276">
      <c r="A276" s="2" t="n">
        <v>45690</v>
      </c>
      <c r="B276" t="n">
        <v>6025.99</v>
      </c>
      <c r="C276" t="n">
        <v>227.63</v>
      </c>
      <c r="D276">
        <f>LN(B276/B275)</f>
        <v/>
      </c>
      <c r="E276">
        <f>LN(C276/C275)</f>
        <v/>
      </c>
    </row>
    <row r="277">
      <c r="A277" s="2" t="n">
        <v>45697</v>
      </c>
      <c r="B277" t="n">
        <v>6114.63</v>
      </c>
      <c r="C277" t="n">
        <v>244.6</v>
      </c>
      <c r="D277">
        <f>LN(B277/B276)</f>
        <v/>
      </c>
      <c r="E277">
        <f>LN(C277/C276)</f>
        <v/>
      </c>
    </row>
    <row r="278">
      <c r="A278" s="2" t="n">
        <v>45704</v>
      </c>
      <c r="B278" t="n">
        <v>6013.13</v>
      </c>
      <c r="C278" t="n">
        <v>245.55</v>
      </c>
      <c r="D278">
        <f>LN(B278/B277)</f>
        <v/>
      </c>
      <c r="E278">
        <f>LN(C278/C277)</f>
        <v/>
      </c>
    </row>
    <row r="279">
      <c r="A279" s="2" t="n">
        <v>45711</v>
      </c>
      <c r="B279" t="n">
        <v>5954.5</v>
      </c>
      <c r="C279" t="n">
        <v>241.84</v>
      </c>
      <c r="D279">
        <f>LN(B279/B278)</f>
        <v/>
      </c>
      <c r="E279">
        <f>LN(C279/C278)</f>
        <v/>
      </c>
    </row>
    <row r="280">
      <c r="A280" s="2" t="n">
        <v>45718</v>
      </c>
      <c r="B280" t="n">
        <v>5770.2</v>
      </c>
      <c r="C280" t="n">
        <v>239.07</v>
      </c>
      <c r="D280">
        <f>LN(B280/B279)</f>
        <v/>
      </c>
      <c r="E280">
        <f>LN(C280/C279)</f>
        <v/>
      </c>
    </row>
    <row r="281">
      <c r="A281" s="2" t="n">
        <v>45725</v>
      </c>
      <c r="B281" t="n">
        <v>5638.94</v>
      </c>
      <c r="C281" t="n">
        <v>213.49</v>
      </c>
      <c r="D281">
        <f>LN(B281/B280)</f>
        <v/>
      </c>
      <c r="E281">
        <f>LN(C281/C280)</f>
        <v/>
      </c>
    </row>
    <row r="282">
      <c r="A282" s="2" t="n">
        <v>45732</v>
      </c>
      <c r="B282" t="n">
        <v>5667.56</v>
      </c>
      <c r="C282" t="n">
        <v>218.27</v>
      </c>
      <c r="D282">
        <f>LN(B282/B281)</f>
        <v/>
      </c>
      <c r="E282">
        <f>LN(C282/C281)</f>
        <v/>
      </c>
    </row>
    <row r="283">
      <c r="A283" s="2" t="n">
        <v>45739</v>
      </c>
      <c r="B283" t="n">
        <v>5580.94</v>
      </c>
      <c r="C283" t="n">
        <v>217.9</v>
      </c>
      <c r="D283">
        <f>LN(B283/B282)</f>
        <v/>
      </c>
      <c r="E283">
        <f>LN(C283/C282)</f>
        <v/>
      </c>
    </row>
    <row r="284">
      <c r="A284" s="2" t="n">
        <v>45746</v>
      </c>
      <c r="B284" t="n">
        <v>5074.08</v>
      </c>
      <c r="C284" t="n">
        <v>188.38</v>
      </c>
      <c r="D284">
        <f>LN(B284/B283)</f>
        <v/>
      </c>
      <c r="E284">
        <f>LN(C284/C283)</f>
        <v/>
      </c>
    </row>
    <row r="285">
      <c r="A285" s="2" t="n">
        <v>45753</v>
      </c>
      <c r="B285" t="n">
        <v>5363.36</v>
      </c>
      <c r="C285" t="n">
        <v>198.15</v>
      </c>
      <c r="D285">
        <f>LN(B285/B284)</f>
        <v/>
      </c>
      <c r="E285">
        <f>LN(C285/C284)</f>
        <v/>
      </c>
    </row>
    <row r="286">
      <c r="A286" s="2" t="n">
        <v>45760</v>
      </c>
      <c r="B286" t="n">
        <v>5282.7</v>
      </c>
      <c r="C286" t="n">
        <v>196.98</v>
      </c>
      <c r="D286">
        <f>LN(B286/B285)</f>
        <v/>
      </c>
      <c r="E286">
        <f>LN(C286/C285)</f>
        <v/>
      </c>
    </row>
    <row r="287">
      <c r="A287" s="2" t="n">
        <v>45767</v>
      </c>
      <c r="B287" t="n">
        <v>5525.21</v>
      </c>
      <c r="C287" t="n">
        <v>209.28</v>
      </c>
      <c r="D287">
        <f>LN(B287/B286)</f>
        <v/>
      </c>
      <c r="E287">
        <f>LN(C287/C286)</f>
        <v/>
      </c>
    </row>
    <row r="288">
      <c r="A288" s="2" t="n">
        <v>45774</v>
      </c>
      <c r="B288" t="n">
        <v>5686.67</v>
      </c>
      <c r="C288" t="n">
        <v>205.35</v>
      </c>
      <c r="D288">
        <f>LN(B288/B287)</f>
        <v/>
      </c>
      <c r="E288">
        <f>LN(C288/C287)</f>
        <v/>
      </c>
    </row>
    <row r="289">
      <c r="A289" s="2" t="n">
        <v>45781</v>
      </c>
      <c r="B289" t="n">
        <v>5659.91</v>
      </c>
      <c r="C289" t="n">
        <v>198.53</v>
      </c>
      <c r="D289">
        <f>LN(B289/B288)</f>
        <v/>
      </c>
      <c r="E289">
        <f>LN(C289/C288)</f>
        <v/>
      </c>
    </row>
    <row r="290">
      <c r="A290" s="2" t="n">
        <v>45788</v>
      </c>
      <c r="B290" t="n">
        <v>5958.38</v>
      </c>
      <c r="C290" t="n">
        <v>211.26</v>
      </c>
      <c r="D290">
        <f>LN(B290/B289)</f>
        <v/>
      </c>
      <c r="E290">
        <f>LN(C290/C289)</f>
        <v/>
      </c>
    </row>
    <row r="291">
      <c r="A291" s="2" t="n">
        <v>45795</v>
      </c>
      <c r="B291" t="n">
        <v>5802.82</v>
      </c>
      <c r="C291" t="n">
        <v>195.27</v>
      </c>
      <c r="D291">
        <f>LN(B291/B290)</f>
        <v/>
      </c>
      <c r="E291">
        <f>LN(C291/C290)</f>
        <v/>
      </c>
    </row>
    <row r="292">
      <c r="A292" s="2" t="n">
        <v>45802</v>
      </c>
      <c r="B292" t="n">
        <v>5911.69</v>
      </c>
      <c r="C292" t="n">
        <v>200.85</v>
      </c>
      <c r="D292">
        <f>LN(B292/B291)</f>
        <v/>
      </c>
      <c r="E292">
        <f>LN(C292/C291)</f>
        <v/>
      </c>
    </row>
    <row r="293">
      <c r="A293" s="2" t="n">
        <v>45809</v>
      </c>
      <c r="B293" t="n">
        <v>6000.36</v>
      </c>
      <c r="C293" t="n">
        <v>203.92</v>
      </c>
      <c r="D293">
        <f>LN(B293/B292)</f>
        <v/>
      </c>
      <c r="E293">
        <f>LN(C293/C292)</f>
        <v/>
      </c>
    </row>
    <row r="294">
      <c r="A294" s="2" t="n">
        <v>45816</v>
      </c>
      <c r="B294" t="n">
        <v>5976.97</v>
      </c>
      <c r="C294" t="n">
        <v>196.45</v>
      </c>
      <c r="D294">
        <f>LN(B294/B293)</f>
        <v/>
      </c>
      <c r="E294">
        <f>LN(C294/C293)</f>
        <v/>
      </c>
    </row>
    <row r="295">
      <c r="A295" s="2" t="n">
        <v>45823</v>
      </c>
      <c r="B295" t="n">
        <v>5967.84</v>
      </c>
      <c r="C295" t="n">
        <v>201</v>
      </c>
      <c r="D295">
        <f>LN(B295/B294)</f>
        <v/>
      </c>
      <c r="E295">
        <f>LN(C295/C294)</f>
        <v/>
      </c>
    </row>
    <row r="296">
      <c r="A296" s="2" t="n">
        <v>45830</v>
      </c>
      <c r="B296" t="n">
        <v>6173.07</v>
      </c>
      <c r="C296" t="n">
        <v>201.08</v>
      </c>
      <c r="D296">
        <f>LN(B296/B295)</f>
        <v/>
      </c>
      <c r="E296">
        <f>LN(C296/C295)</f>
        <v/>
      </c>
    </row>
    <row r="297">
      <c r="A297" s="2" t="n">
        <v>45837</v>
      </c>
      <c r="B297" t="n">
        <v>6279.35</v>
      </c>
      <c r="C297" t="n">
        <v>213.55</v>
      </c>
      <c r="D297">
        <f>LN(B297/B296)</f>
        <v/>
      </c>
      <c r="E297">
        <f>LN(C297/C296)</f>
        <v/>
      </c>
    </row>
    <row r="298">
      <c r="A298" s="2" t="n">
        <v>45844</v>
      </c>
      <c r="B298" t="n">
        <v>6259.75</v>
      </c>
      <c r="C298" t="n">
        <v>211.16</v>
      </c>
      <c r="D298">
        <f>LN(B298/B297)</f>
        <v/>
      </c>
      <c r="E298">
        <f>LN(C298/C297)</f>
        <v/>
      </c>
    </row>
    <row r="299">
      <c r="A299" s="2" t="n">
        <v>45851</v>
      </c>
      <c r="B299" t="n">
        <v>6296.79</v>
      </c>
      <c r="C299" t="n">
        <v>211.18</v>
      </c>
      <c r="D299">
        <f>LN(B299/B298)</f>
        <v/>
      </c>
      <c r="E299">
        <f>LN(C299/C298)</f>
        <v/>
      </c>
    </row>
    <row r="300">
      <c r="A300" s="2" t="n">
        <v>45858</v>
      </c>
      <c r="B300" t="n">
        <v>6388.64</v>
      </c>
      <c r="C300" t="n">
        <v>213.88</v>
      </c>
      <c r="D300">
        <f>LN(B300/B299)</f>
        <v/>
      </c>
      <c r="E300">
        <f>LN(C300/C299)</f>
        <v/>
      </c>
    </row>
    <row r="301">
      <c r="A301" s="2" t="n">
        <v>45865</v>
      </c>
      <c r="B301" t="n">
        <v>6238.01</v>
      </c>
      <c r="C301" t="n">
        <v>202.38</v>
      </c>
      <c r="D301">
        <f>LN(B301/B300)</f>
        <v/>
      </c>
      <c r="E301">
        <f>LN(C301/C300)</f>
        <v/>
      </c>
    </row>
    <row r="302">
      <c r="A302" s="2" t="n">
        <v>45872</v>
      </c>
      <c r="B302" t="n">
        <v>6389.45</v>
      </c>
      <c r="C302" t="n">
        <v>229.35</v>
      </c>
      <c r="D302">
        <f>LN(B302/B301)</f>
        <v/>
      </c>
      <c r="E302">
        <f>LN(C302/C301)</f>
        <v/>
      </c>
    </row>
    <row r="303">
      <c r="A303" s="2" t="n">
        <v>45879</v>
      </c>
      <c r="B303" t="n">
        <v>6449.8</v>
      </c>
      <c r="C303" t="n">
        <v>231.59</v>
      </c>
      <c r="D303">
        <f>LN(B303/B302)</f>
        <v/>
      </c>
      <c r="E303">
        <f>LN(C303/C302)</f>
        <v/>
      </c>
    </row>
    <row r="304">
      <c r="A304" s="2" t="n">
        <v>45886</v>
      </c>
      <c r="B304" t="n">
        <v>6466.91</v>
      </c>
      <c r="C304" t="n">
        <v>227.76</v>
      </c>
      <c r="D304">
        <f>LN(B304/B303)</f>
        <v/>
      </c>
      <c r="E304">
        <f>LN(C304/C303)</f>
        <v/>
      </c>
    </row>
    <row r="305">
      <c r="A305" s="2" t="n">
        <v>45893</v>
      </c>
      <c r="B305" t="n">
        <v>6460.26</v>
      </c>
      <c r="C305" t="n">
        <v>232.14</v>
      </c>
      <c r="D305">
        <f>LN(B305/B304)</f>
        <v/>
      </c>
      <c r="E305">
        <f>LN(C305/C304)</f>
        <v/>
      </c>
    </row>
    <row r="306">
      <c r="A306" s="2" t="n">
        <v>45900</v>
      </c>
      <c r="B306" t="n">
        <v>6481.5</v>
      </c>
      <c r="C306" t="n">
        <v>239.69</v>
      </c>
      <c r="D306">
        <f>LN(B306/B305)</f>
        <v/>
      </c>
      <c r="E306">
        <f>LN(C306/C305)</f>
        <v/>
      </c>
    </row>
    <row r="307">
      <c r="A307" s="2" t="n">
        <v>45907</v>
      </c>
      <c r="B307" t="n">
        <v>6584.29</v>
      </c>
      <c r="C307" t="n">
        <v>234.07</v>
      </c>
      <c r="D307">
        <f>LN(B307/B306)</f>
        <v/>
      </c>
      <c r="E307">
        <f>LN(C307/C306)</f>
        <v/>
      </c>
    </row>
    <row r="308">
      <c r="A308" s="2" t="n">
        <v>45914</v>
      </c>
      <c r="B308" t="n">
        <v>6664.36</v>
      </c>
      <c r="C308" t="n">
        <v>245.5</v>
      </c>
      <c r="D308">
        <f>LN(B308/B307)</f>
        <v/>
      </c>
      <c r="E308">
        <f>LN(C308/C307)</f>
        <v/>
      </c>
    </row>
    <row r="309">
      <c r="A309" s="2" t="n">
        <v>45921</v>
      </c>
      <c r="B309" t="n">
        <v>6643.7</v>
      </c>
      <c r="C309" t="n">
        <v>255.46</v>
      </c>
      <c r="D309">
        <f>LN(B309/B308)</f>
        <v/>
      </c>
      <c r="E309">
        <f>LN(C309/C308)</f>
        <v/>
      </c>
    </row>
    <row r="310">
      <c r="A310" s="2" t="n">
        <v>45928</v>
      </c>
      <c r="B310" t="n">
        <v>6715.79</v>
      </c>
      <c r="C310" t="n">
        <v>258.02</v>
      </c>
      <c r="D310">
        <f>LN(B310/B309)</f>
        <v/>
      </c>
      <c r="E310">
        <f>LN(C310/C309)</f>
        <v/>
      </c>
    </row>
    <row r="311">
      <c r="A311" s="2" t="n">
        <v>45935</v>
      </c>
      <c r="B311" t="n">
        <v>6552.51</v>
      </c>
      <c r="C311" t="n">
        <v>245.27</v>
      </c>
      <c r="D311">
        <f>LN(B311/B310)</f>
        <v/>
      </c>
      <c r="E311">
        <f>LN(C311/C310)</f>
        <v/>
      </c>
    </row>
    <row r="312">
      <c r="A312" s="2" t="n">
        <v>45942</v>
      </c>
      <c r="B312" t="n">
        <v>6664.01</v>
      </c>
      <c r="C312" t="n">
        <v>252.29</v>
      </c>
      <c r="D312">
        <f>LN(B312/B311)</f>
        <v/>
      </c>
      <c r="E312">
        <f>LN(C312/C311)</f>
        <v/>
      </c>
    </row>
    <row r="313">
      <c r="A313" s="2" t="n">
        <v>45949</v>
      </c>
      <c r="B313" t="n">
        <v>6791.69</v>
      </c>
      <c r="C313" t="n">
        <v>262.82</v>
      </c>
      <c r="D313">
        <f>LN(B313/B312)</f>
        <v/>
      </c>
      <c r="E313">
        <f>LN(C313/C312)</f>
        <v/>
      </c>
    </row>
    <row r="314">
      <c r="A314" s="2" t="n">
        <v>45956</v>
      </c>
      <c r="B314" t="n">
        <v>6840.2</v>
      </c>
      <c r="C314" t="n">
        <v>270.37</v>
      </c>
      <c r="D314">
        <f>LN(B314/B313)</f>
        <v/>
      </c>
      <c r="E314">
        <f>LN(C314/C313)</f>
        <v/>
      </c>
    </row>
    <row r="315">
      <c r="A315" s="2" t="n">
        <v>45963</v>
      </c>
      <c r="B315" t="n">
        <v>6771.74</v>
      </c>
      <c r="C315" t="n">
        <v>270.04</v>
      </c>
      <c r="D315">
        <f>LN(B315/B314)</f>
        <v/>
      </c>
      <c r="E315">
        <f>LN(C315/C314)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3" t="inlineStr">
        <is>
          <t>QUESTION 2 - STATISTICAL ANALYSIS</t>
        </is>
      </c>
    </row>
    <row r="3">
      <c r="A3" s="4" t="inlineStr">
        <is>
          <t>(a) MEAN WEEKLY LOG RETURN</t>
        </is>
      </c>
    </row>
    <row r="4">
      <c r="A4" s="5" t="inlineStr">
        <is>
          <t>Metric</t>
        </is>
      </c>
      <c r="B4" s="5" t="inlineStr">
        <is>
          <t>S&amp;P 500</t>
        </is>
      </c>
      <c r="C4" s="5" t="inlineStr">
        <is>
          <t>AAPL</t>
        </is>
      </c>
    </row>
    <row r="5">
      <c r="A5" t="inlineStr">
        <is>
          <t>Mean (Excel AVERAGE)</t>
        </is>
      </c>
      <c r="B5" s="6">
        <f>AVERAGE('Data &amp; Returns'!D3:D315)</f>
        <v/>
      </c>
      <c r="C5" s="6">
        <f>AVERAGE('Data &amp; Returns'!E3:E315)</f>
        <v/>
      </c>
    </row>
    <row r="7">
      <c r="A7" s="4" t="inlineStr">
        <is>
          <t>(b) VARIANCE CALCULATION</t>
        </is>
      </c>
    </row>
    <row r="8">
      <c r="A8" s="5" t="inlineStr">
        <is>
          <t>Calculation Method</t>
        </is>
      </c>
      <c r="B8" s="5" t="inlineStr">
        <is>
          <t>S&amp;P 500</t>
        </is>
      </c>
      <c r="C8" s="5" t="inlineStr">
        <is>
          <t>AAPL</t>
        </is>
      </c>
    </row>
    <row r="9">
      <c r="A9" t="inlineStr">
        <is>
          <t>Manual: Σ(x - mean)²/N</t>
        </is>
      </c>
      <c r="B9" s="6">
        <f>SUMXMY2('Data &amp; Returns'!D3:D315,B5)/313</f>
        <v/>
      </c>
      <c r="C9" s="6">
        <f>SUMXMY2('Data &amp; Returns'!E3:E315,C5)/313</f>
        <v/>
      </c>
    </row>
    <row r="10">
      <c r="A10" t="inlineStr">
        <is>
          <t>Excel VAR.P function</t>
        </is>
      </c>
      <c r="B10" s="6">
        <f>VAR.P('Data &amp; Returns'!D3:D315)</f>
        <v/>
      </c>
      <c r="C10" s="6">
        <f>VAR.P('Data &amp; Returns'!E3:E315)</f>
        <v/>
      </c>
    </row>
    <row r="11">
      <c r="A11" t="inlineStr">
        <is>
          <t>Difference</t>
        </is>
      </c>
      <c r="B11">
        <f>B9-B10</f>
        <v/>
      </c>
      <c r="C11">
        <f>C9-C10</f>
        <v/>
      </c>
    </row>
    <row r="13">
      <c r="A13" s="4" t="inlineStr">
        <is>
          <t>(c) STANDARD DEVIATION CALCULATION</t>
        </is>
      </c>
    </row>
    <row r="14">
      <c r="A14" s="5" t="inlineStr">
        <is>
          <t>Calculation Method</t>
        </is>
      </c>
      <c r="B14" s="5" t="inlineStr">
        <is>
          <t>S&amp;P 500</t>
        </is>
      </c>
      <c r="C14" s="5" t="inlineStr">
        <is>
          <t>AAPL</t>
        </is>
      </c>
    </row>
    <row r="15">
      <c r="A15" t="inlineStr">
        <is>
          <t>Manual: SQRT(Variance)</t>
        </is>
      </c>
      <c r="B15" s="6">
        <f>SQRT(B9)</f>
        <v/>
      </c>
      <c r="C15" s="6">
        <f>SQRT(C9)</f>
        <v/>
      </c>
    </row>
    <row r="16">
      <c r="A16" t="inlineStr">
        <is>
          <t>Excel STDEV.P function</t>
        </is>
      </c>
      <c r="B16" s="6">
        <f>STDEV.P('Data &amp; Returns'!D3:D315)</f>
        <v/>
      </c>
      <c r="C16" s="6">
        <f>STDEV.P('Data &amp; Returns'!E3:E315)</f>
        <v/>
      </c>
    </row>
    <row r="17">
      <c r="A17" t="inlineStr">
        <is>
          <t>Difference</t>
        </is>
      </c>
      <c r="B17">
        <f>B15-B16</f>
        <v/>
      </c>
      <c r="C17">
        <f>C15-C16</f>
        <v/>
      </c>
    </row>
    <row r="19">
      <c r="A19" s="4" t="inlineStr">
        <is>
          <t>(e) SKEWNESS AND KURTOSIS</t>
        </is>
      </c>
    </row>
    <row r="20">
      <c r="A20" s="5" t="inlineStr">
        <is>
          <t>Metric</t>
        </is>
      </c>
      <c r="B20" s="5" t="inlineStr">
        <is>
          <t>S&amp;P 500</t>
        </is>
      </c>
      <c r="C20" s="5" t="inlineStr">
        <is>
          <t>AAPL</t>
        </is>
      </c>
    </row>
    <row r="21">
      <c r="A21" t="inlineStr">
        <is>
          <t>Skewness</t>
        </is>
      </c>
      <c r="B21" s="6">
        <f>SKEW('Data &amp; Returns'!D3:D315)</f>
        <v/>
      </c>
      <c r="C21" s="6">
        <f>SKEW('Data &amp; Returns'!E3:E315)</f>
        <v/>
      </c>
    </row>
    <row r="22">
      <c r="A22" t="inlineStr">
        <is>
          <t>Kurtosis</t>
        </is>
      </c>
      <c r="B22" s="6">
        <f>KURT('Data &amp; Returns'!D3:D315)</f>
        <v/>
      </c>
      <c r="C22" s="6">
        <f>KURT('Data &amp; Returns'!E3:E315)</f>
        <v/>
      </c>
    </row>
    <row r="24">
      <c r="A24" s="4" t="inlineStr">
        <is>
          <t>(f) WEEKS MOVING TOGETHER/APART</t>
        </is>
      </c>
    </row>
    <row r="25">
      <c r="A25" s="5" t="inlineStr">
        <is>
          <t>Metric</t>
        </is>
      </c>
      <c r="B25" s="5" t="inlineStr">
        <is>
          <t>Count</t>
        </is>
      </c>
      <c r="C25" s="5" t="inlineStr">
        <is>
          <t>Proportion</t>
        </is>
      </c>
    </row>
    <row r="26">
      <c r="A26" t="inlineStr">
        <is>
          <t>Weeks moving together (same sign)</t>
        </is>
      </c>
      <c r="B26" s="6">
        <f>SUMPRODUCT((SIGN('Data &amp; Returns'!D3:D315)=SIGN('Data &amp; Returns'!E3:E315))*1)</f>
        <v/>
      </c>
      <c r="C26" s="6">
        <f>B26/313</f>
        <v/>
      </c>
    </row>
    <row r="27">
      <c r="A27" t="inlineStr">
        <is>
          <t>Weeks moving apart (different sign)</t>
        </is>
      </c>
      <c r="B27" s="6">
        <f>SUMPRODUCT((SIGN('Data &amp; Returns'!D3:D315)&lt;&gt;SIGN('Data &amp; Returns'!E3:E315))*1)</f>
        <v/>
      </c>
      <c r="C27" s="6">
        <f>B27/313</f>
        <v/>
      </c>
    </row>
    <row r="29">
      <c r="A29" s="4" t="inlineStr">
        <is>
          <t>(g) COVARIANCE CALCULATION</t>
        </is>
      </c>
    </row>
    <row r="30">
      <c r="A30" s="5" t="inlineStr">
        <is>
          <t>Calculation Method</t>
        </is>
      </c>
      <c r="B30" s="5" t="inlineStr">
        <is>
          <t>Value</t>
        </is>
      </c>
    </row>
    <row r="31">
      <c r="A31" t="inlineStr">
        <is>
          <t>Manual: Σ(x-mean_x)(y-mean_y)/N</t>
        </is>
      </c>
      <c r="B31" s="6">
        <f>SUMPRODUCT(('Data &amp; Returns'!D3:D315-B5),('Data &amp; Returns'!E3:E315-C5))/313</f>
        <v/>
      </c>
    </row>
    <row r="32">
      <c r="A32" t="inlineStr">
        <is>
          <t>Excel COVARIANCE.P function</t>
        </is>
      </c>
      <c r="B32" s="6">
        <f>COVARIANCE.P('Data &amp; Returns'!D3:D315,'Data &amp; Returns'!E3:E315)</f>
        <v/>
      </c>
    </row>
    <row r="33">
      <c r="A33" t="inlineStr">
        <is>
          <t>Difference</t>
        </is>
      </c>
      <c r="B33">
        <f>B31-B32</f>
        <v/>
      </c>
    </row>
    <row r="35">
      <c r="A35" s="4" t="inlineStr">
        <is>
          <t>(h) CORRELATION CALCULATION</t>
        </is>
      </c>
    </row>
    <row r="36">
      <c r="A36" s="5" t="inlineStr">
        <is>
          <t>Calculation Method</t>
        </is>
      </c>
      <c r="B36" s="5" t="inlineStr">
        <is>
          <t>Value</t>
        </is>
      </c>
    </row>
    <row r="37">
      <c r="A37" t="inlineStr">
        <is>
          <t>Manual: Cov(x,y)/(StdDev_x * StdDev_y)</t>
        </is>
      </c>
      <c r="B37" s="6">
        <f>B31/(B15*C15)</f>
        <v/>
      </c>
    </row>
    <row r="38">
      <c r="A38" t="inlineStr">
        <is>
          <t>Excel CORREL function</t>
        </is>
      </c>
      <c r="B38" s="6">
        <f>CORREL('Data &amp; Returns'!D3:D315,'Data &amp; Returns'!E3:E315)</f>
        <v/>
      </c>
    </row>
    <row r="39">
      <c r="A39" t="inlineStr">
        <is>
          <t>Difference</t>
        </is>
      </c>
      <c r="B39">
        <f>B37-B38</f>
        <v/>
      </c>
    </row>
    <row r="41">
      <c r="A41" s="4" t="inlineStr">
        <is>
          <t>(j) REGRESSION STATISTICS (AAPL vs S&amp;P 500)</t>
        </is>
      </c>
    </row>
    <row r="42">
      <c r="A42" s="5" t="inlineStr">
        <is>
          <t>Statistic</t>
        </is>
      </c>
      <c r="B42" s="5" t="inlineStr">
        <is>
          <t>Value</t>
        </is>
      </c>
    </row>
    <row r="43">
      <c r="A43" t="inlineStr">
        <is>
          <t>Slope (Beta)</t>
        </is>
      </c>
      <c r="B43" s="6">
        <f>SLOPE('Data &amp; Returns'!E3:E315,'Data &amp; Returns'!D3:D315)</f>
        <v/>
      </c>
    </row>
    <row r="44">
      <c r="A44" t="inlineStr">
        <is>
          <t>Intercept (Alpha)</t>
        </is>
      </c>
      <c r="B44" s="6">
        <f>INTERCEPT('Data &amp; Returns'!E3:E315,'Data &amp; Returns'!D3:D315)</f>
        <v/>
      </c>
    </row>
    <row r="45">
      <c r="A45" t="inlineStr">
        <is>
          <t>R-Square</t>
        </is>
      </c>
      <c r="B45" s="6">
        <f>RSQ('Data &amp; Returns'!E3:E315,'Data &amp; Returns'!D3:D315)</f>
        <v/>
      </c>
    </row>
  </sheetData>
  <mergeCells count="9">
    <mergeCell ref="A29:E29"/>
    <mergeCell ref="A35:E35"/>
    <mergeCell ref="A24:E24"/>
    <mergeCell ref="A7:E7"/>
    <mergeCell ref="A41:E41"/>
    <mergeCell ref="A19:E19"/>
    <mergeCell ref="A1:E1"/>
    <mergeCell ref="A13:E13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0" customWidth="1" min="3" max="3"/>
  </cols>
  <sheetData>
    <row r="1">
      <c r="A1" s="3" t="inlineStr">
        <is>
          <t>(d) HISTOGRAMS USING FREQUENCY FUNCTION</t>
        </is>
      </c>
    </row>
    <row r="3">
      <c r="A3" s="4" t="inlineStr">
        <is>
          <t>S&amp;P 500 RETURNS HISTOGRAM</t>
        </is>
      </c>
    </row>
    <row r="4">
      <c r="A4" s="5" t="inlineStr">
        <is>
          <t>Bin Upper Limit</t>
        </is>
      </c>
      <c r="B4" s="5" t="inlineStr">
        <is>
          <t>Frequency</t>
        </is>
      </c>
      <c r="C4" s="5" t="inlineStr">
        <is>
          <t>Bin Label</t>
        </is>
      </c>
    </row>
    <row r="5">
      <c r="A5" t="n">
        <v>-0.15</v>
      </c>
      <c r="B5">
        <f>COUNTIF('Data &amp; Returns'!$D$3:$D$315,"&lt;="&amp;A5)</f>
        <v/>
      </c>
      <c r="C5" t="inlineStr">
        <is>
          <t>&lt;-0.150</t>
        </is>
      </c>
    </row>
    <row r="6">
      <c r="A6" t="n">
        <v>-0.14</v>
      </c>
      <c r="B6">
        <f>COUNTIFS('Data &amp; Returns'!$D$3:$D$315,"&lt;="&amp;A6,'Data &amp; Returns'!$D$3:$D$315,"&gt;"&amp;A5)</f>
        <v/>
      </c>
      <c r="C6" t="inlineStr">
        <is>
          <t>-0.150 to -0.140</t>
        </is>
      </c>
    </row>
    <row r="7">
      <c r="A7" t="n">
        <v>-0.13</v>
      </c>
      <c r="B7">
        <f>COUNTIFS('Data &amp; Returns'!$D$3:$D$315,"&lt;="&amp;A7,'Data &amp; Returns'!$D$3:$D$315,"&gt;"&amp;A6)</f>
        <v/>
      </c>
      <c r="C7" t="inlineStr">
        <is>
          <t>-0.140 to -0.130</t>
        </is>
      </c>
    </row>
    <row r="8">
      <c r="A8" t="n">
        <v>-0.12</v>
      </c>
      <c r="B8">
        <f>COUNTIFS('Data &amp; Returns'!$D$3:$D$315,"&lt;="&amp;A8,'Data &amp; Returns'!$D$3:$D$315,"&gt;"&amp;A7)</f>
        <v/>
      </c>
      <c r="C8" t="inlineStr">
        <is>
          <t>-0.130 to -0.120</t>
        </is>
      </c>
    </row>
    <row r="9">
      <c r="A9" t="n">
        <v>-0.11</v>
      </c>
      <c r="B9">
        <f>COUNTIFS('Data &amp; Returns'!$D$3:$D$315,"&lt;="&amp;A9,'Data &amp; Returns'!$D$3:$D$315,"&gt;"&amp;A8)</f>
        <v/>
      </c>
      <c r="C9" t="inlineStr">
        <is>
          <t>-0.120 to -0.110</t>
        </is>
      </c>
    </row>
    <row r="10">
      <c r="A10" t="n">
        <v>-0.1</v>
      </c>
      <c r="B10">
        <f>COUNTIFS('Data &amp; Returns'!$D$3:$D$315,"&lt;="&amp;A10,'Data &amp; Returns'!$D$3:$D$315,"&gt;"&amp;A9)</f>
        <v/>
      </c>
      <c r="C10" t="inlineStr">
        <is>
          <t>-0.110 to -0.100</t>
        </is>
      </c>
    </row>
    <row r="11">
      <c r="A11" t="n">
        <v>-0.09</v>
      </c>
      <c r="B11">
        <f>COUNTIFS('Data &amp; Returns'!$D$3:$D$315,"&lt;="&amp;A11,'Data &amp; Returns'!$D$3:$D$315,"&gt;"&amp;A10)</f>
        <v/>
      </c>
      <c r="C11" t="inlineStr">
        <is>
          <t>-0.100 to -0.090</t>
        </is>
      </c>
    </row>
    <row r="12">
      <c r="A12" t="n">
        <v>-0.08</v>
      </c>
      <c r="B12">
        <f>COUNTIFS('Data &amp; Returns'!$D$3:$D$315,"&lt;="&amp;A12,'Data &amp; Returns'!$D$3:$D$315,"&gt;"&amp;A11)</f>
        <v/>
      </c>
      <c r="C12" t="inlineStr">
        <is>
          <t>-0.090 to -0.080</t>
        </is>
      </c>
    </row>
    <row r="13">
      <c r="A13" t="n">
        <v>-0.07000000000000001</v>
      </c>
      <c r="B13">
        <f>COUNTIFS('Data &amp; Returns'!$D$3:$D$315,"&lt;="&amp;A13,'Data &amp; Returns'!$D$3:$D$315,"&gt;"&amp;A12)</f>
        <v/>
      </c>
      <c r="C13" t="inlineStr">
        <is>
          <t>-0.080 to -0.070</t>
        </is>
      </c>
    </row>
    <row r="14">
      <c r="A14" t="n">
        <v>-0.06</v>
      </c>
      <c r="B14">
        <f>COUNTIFS('Data &amp; Returns'!$D$3:$D$315,"&lt;="&amp;A14,'Data &amp; Returns'!$D$3:$D$315,"&gt;"&amp;A13)</f>
        <v/>
      </c>
      <c r="C14" t="inlineStr">
        <is>
          <t>-0.070 to -0.060</t>
        </is>
      </c>
    </row>
    <row r="15">
      <c r="A15" t="n">
        <v>-0.05</v>
      </c>
      <c r="B15">
        <f>COUNTIFS('Data &amp; Returns'!$D$3:$D$315,"&lt;="&amp;A15,'Data &amp; Returns'!$D$3:$D$315,"&gt;"&amp;A14)</f>
        <v/>
      </c>
      <c r="C15" t="inlineStr">
        <is>
          <t>-0.060 to -0.050</t>
        </is>
      </c>
    </row>
    <row r="16">
      <c r="A16" t="n">
        <v>-0.04</v>
      </c>
      <c r="B16">
        <f>COUNTIFS('Data &amp; Returns'!$D$3:$D$315,"&lt;="&amp;A16,'Data &amp; Returns'!$D$3:$D$315,"&gt;"&amp;A15)</f>
        <v/>
      </c>
      <c r="C16" t="inlineStr">
        <is>
          <t>-0.050 to -0.040</t>
        </is>
      </c>
    </row>
    <row r="17">
      <c r="A17" t="n">
        <v>-0.03</v>
      </c>
      <c r="B17">
        <f>COUNTIFS('Data &amp; Returns'!$D$3:$D$315,"&lt;="&amp;A17,'Data &amp; Returns'!$D$3:$D$315,"&gt;"&amp;A16)</f>
        <v/>
      </c>
      <c r="C17" t="inlineStr">
        <is>
          <t>-0.040 to -0.030</t>
        </is>
      </c>
    </row>
    <row r="18">
      <c r="A18" t="n">
        <v>-0.02</v>
      </c>
      <c r="B18">
        <f>COUNTIFS('Data &amp; Returns'!$D$3:$D$315,"&lt;="&amp;A18,'Data &amp; Returns'!$D$3:$D$315,"&gt;"&amp;A17)</f>
        <v/>
      </c>
      <c r="C18" t="inlineStr">
        <is>
          <t>-0.030 to -0.020</t>
        </is>
      </c>
    </row>
    <row r="19">
      <c r="A19" t="n">
        <v>-0.01</v>
      </c>
      <c r="B19">
        <f>COUNTIFS('Data &amp; Returns'!$D$3:$D$315,"&lt;="&amp;A19,'Data &amp; Returns'!$D$3:$D$315,"&gt;"&amp;A18)</f>
        <v/>
      </c>
      <c r="C19" t="inlineStr">
        <is>
          <t>-0.020 to -0.010</t>
        </is>
      </c>
    </row>
    <row r="20">
      <c r="A20" t="n">
        <v>0</v>
      </c>
      <c r="B20">
        <f>COUNTIFS('Data &amp; Returns'!$D$3:$D$315,"&lt;="&amp;A20,'Data &amp; Returns'!$D$3:$D$315,"&gt;"&amp;A19)</f>
        <v/>
      </c>
      <c r="C20" t="inlineStr">
        <is>
          <t>-0.010 to 0.000</t>
        </is>
      </c>
    </row>
    <row r="21">
      <c r="A21" t="n">
        <v>0.01</v>
      </c>
      <c r="B21">
        <f>COUNTIFS('Data &amp; Returns'!$D$3:$D$315,"&lt;="&amp;A21,'Data &amp; Returns'!$D$3:$D$315,"&gt;"&amp;A20)</f>
        <v/>
      </c>
      <c r="C21" t="inlineStr">
        <is>
          <t>0.000 to 0.010</t>
        </is>
      </c>
    </row>
    <row r="22">
      <c r="A22" t="n">
        <v>0.02</v>
      </c>
      <c r="B22">
        <f>COUNTIFS('Data &amp; Returns'!$D$3:$D$315,"&lt;="&amp;A22,'Data &amp; Returns'!$D$3:$D$315,"&gt;"&amp;A21)</f>
        <v/>
      </c>
      <c r="C22" t="inlineStr">
        <is>
          <t>0.010 to 0.020</t>
        </is>
      </c>
    </row>
    <row r="23">
      <c r="A23" t="n">
        <v>0.03</v>
      </c>
      <c r="B23">
        <f>COUNTIFS('Data &amp; Returns'!$D$3:$D$315,"&lt;="&amp;A23,'Data &amp; Returns'!$D$3:$D$315,"&gt;"&amp;A22)</f>
        <v/>
      </c>
      <c r="C23" t="inlineStr">
        <is>
          <t>0.020 to 0.030</t>
        </is>
      </c>
    </row>
    <row r="24">
      <c r="A24" t="n">
        <v>0.04</v>
      </c>
      <c r="B24">
        <f>COUNTIFS('Data &amp; Returns'!$D$3:$D$315,"&lt;="&amp;A24,'Data &amp; Returns'!$D$3:$D$315,"&gt;"&amp;A23)</f>
        <v/>
      </c>
      <c r="C24" t="inlineStr">
        <is>
          <t>0.030 to 0.040</t>
        </is>
      </c>
    </row>
    <row r="25">
      <c r="A25" t="n">
        <v>0.05</v>
      </c>
      <c r="B25">
        <f>COUNTIFS('Data &amp; Returns'!$D$3:$D$315,"&lt;="&amp;A25,'Data &amp; Returns'!$D$3:$D$315,"&gt;"&amp;A24)</f>
        <v/>
      </c>
      <c r="C25" t="inlineStr">
        <is>
          <t>0.040 to 0.050</t>
        </is>
      </c>
    </row>
    <row r="26">
      <c r="A26" t="n">
        <v>0.06</v>
      </c>
      <c r="B26">
        <f>COUNTIFS('Data &amp; Returns'!$D$3:$D$315,"&lt;="&amp;A26,'Data &amp; Returns'!$D$3:$D$315,"&gt;"&amp;A25)</f>
        <v/>
      </c>
      <c r="C26" t="inlineStr">
        <is>
          <t>0.050 to 0.060</t>
        </is>
      </c>
    </row>
    <row r="27">
      <c r="A27" t="n">
        <v>0.07000000000000001</v>
      </c>
      <c r="B27">
        <f>COUNTIFS('Data &amp; Returns'!$D$3:$D$315,"&lt;="&amp;A27,'Data &amp; Returns'!$D$3:$D$315,"&gt;"&amp;A26)</f>
        <v/>
      </c>
      <c r="C27" t="inlineStr">
        <is>
          <t>0.060 to 0.070</t>
        </is>
      </c>
    </row>
    <row r="28">
      <c r="A28" t="n">
        <v>0.08</v>
      </c>
      <c r="B28">
        <f>COUNTIFS('Data &amp; Returns'!$D$3:$D$315,"&lt;="&amp;A28,'Data &amp; Returns'!$D$3:$D$315,"&gt;"&amp;A27)</f>
        <v/>
      </c>
      <c r="C28" t="inlineStr">
        <is>
          <t>0.070 to 0.080</t>
        </is>
      </c>
    </row>
    <row r="29">
      <c r="A29" t="n">
        <v>0.09</v>
      </c>
      <c r="B29">
        <f>COUNTIFS('Data &amp; Returns'!$D$3:$D$315,"&lt;="&amp;A29,'Data &amp; Returns'!$D$3:$D$315,"&gt;"&amp;A28)</f>
        <v/>
      </c>
      <c r="C29" t="inlineStr">
        <is>
          <t>0.080 to 0.090</t>
        </is>
      </c>
    </row>
    <row r="30">
      <c r="A30" t="n">
        <v>0.1</v>
      </c>
      <c r="B30">
        <f>COUNTIFS('Data &amp; Returns'!$D$3:$D$315,"&lt;="&amp;A30,'Data &amp; Returns'!$D$3:$D$315,"&gt;"&amp;A29)</f>
        <v/>
      </c>
      <c r="C30" t="inlineStr">
        <is>
          <t>0.090 to 0.100</t>
        </is>
      </c>
    </row>
    <row r="31">
      <c r="A31" t="n">
        <v>0.11</v>
      </c>
      <c r="B31">
        <f>COUNTIFS('Data &amp; Returns'!$D$3:$D$315,"&lt;="&amp;A31,'Data &amp; Returns'!$D$3:$D$315,"&gt;"&amp;A30)</f>
        <v/>
      </c>
      <c r="C31" t="inlineStr">
        <is>
          <t>0.100 to 0.110</t>
        </is>
      </c>
    </row>
    <row r="32">
      <c r="A32" t="n">
        <v>0.12</v>
      </c>
      <c r="B32">
        <f>COUNTIFS('Data &amp; Returns'!$D$3:$D$315,"&lt;="&amp;A32,'Data &amp; Returns'!$D$3:$D$315,"&gt;"&amp;A31)</f>
        <v/>
      </c>
      <c r="C32" t="inlineStr">
        <is>
          <t>0.110 to 0.120</t>
        </is>
      </c>
    </row>
    <row r="33">
      <c r="A33" t="n">
        <v>0.13</v>
      </c>
      <c r="B33">
        <f>COUNTIFS('Data &amp; Returns'!$D$3:$D$315,"&lt;="&amp;A33,'Data &amp; Returns'!$D$3:$D$315,"&gt;"&amp;A32)</f>
        <v/>
      </c>
      <c r="C33" t="inlineStr">
        <is>
          <t>0.120 to 0.130</t>
        </is>
      </c>
    </row>
    <row r="34">
      <c r="A34" t="n">
        <v>0.14</v>
      </c>
      <c r="B34">
        <f>COUNTIFS('Data &amp; Returns'!$D$3:$D$315,"&lt;="&amp;A34,'Data &amp; Returns'!$D$3:$D$315,"&gt;"&amp;A33)</f>
        <v/>
      </c>
      <c r="C34" t="inlineStr">
        <is>
          <t>0.130 to 0.140</t>
        </is>
      </c>
    </row>
    <row r="35">
      <c r="A35" t="n">
        <v>0.15</v>
      </c>
      <c r="B35">
        <f>COUNTIFS('Data &amp; Returns'!$D$3:$D$315,"&lt;="&amp;A35,'Data &amp; Returns'!$D$3:$D$315,"&gt;"&amp;A34)</f>
        <v/>
      </c>
      <c r="C35" t="inlineStr">
        <is>
          <t>0.140 to 0.150</t>
        </is>
      </c>
    </row>
    <row r="38">
      <c r="A38" s="4" t="inlineStr">
        <is>
          <t>AAPL RETURNS HISTOGRAM</t>
        </is>
      </c>
    </row>
    <row r="39">
      <c r="A39" s="5" t="inlineStr">
        <is>
          <t>Bin Upper Limit</t>
        </is>
      </c>
      <c r="B39" s="5" t="inlineStr">
        <is>
          <t>Frequency</t>
        </is>
      </c>
      <c r="C39" s="5" t="inlineStr">
        <is>
          <t>Bin Label</t>
        </is>
      </c>
    </row>
    <row r="40">
      <c r="A40" t="n">
        <v>-0.2</v>
      </c>
      <c r="B40">
        <f>COUNTIF('Data &amp; Returns'!$E$3:$E$315,"&lt;="&amp;A40)</f>
        <v/>
      </c>
      <c r="C40" t="inlineStr">
        <is>
          <t>&lt;-0.200</t>
        </is>
      </c>
    </row>
    <row r="41">
      <c r="A41" t="n">
        <v>-0.19</v>
      </c>
      <c r="B41">
        <f>COUNTIFS('Data &amp; Returns'!$E$3:$E$315,"&lt;="&amp;A41,'Data &amp; Returns'!$E$3:$E$315,"&gt;"&amp;A40)</f>
        <v/>
      </c>
      <c r="C41" t="inlineStr">
        <is>
          <t>-0.200 to -0.190</t>
        </is>
      </c>
    </row>
    <row r="42">
      <c r="A42" t="n">
        <v>-0.18</v>
      </c>
      <c r="B42">
        <f>COUNTIFS('Data &amp; Returns'!$E$3:$E$315,"&lt;="&amp;A42,'Data &amp; Returns'!$E$3:$E$315,"&gt;"&amp;A41)</f>
        <v/>
      </c>
      <c r="C42" t="inlineStr">
        <is>
          <t>-0.190 to -0.180</t>
        </is>
      </c>
    </row>
    <row r="43">
      <c r="A43" t="n">
        <v>-0.17</v>
      </c>
      <c r="B43">
        <f>COUNTIFS('Data &amp; Returns'!$E$3:$E$315,"&lt;="&amp;A43,'Data &amp; Returns'!$E$3:$E$315,"&gt;"&amp;A42)</f>
        <v/>
      </c>
      <c r="C43" t="inlineStr">
        <is>
          <t>-0.180 to -0.170</t>
        </is>
      </c>
    </row>
    <row r="44">
      <c r="A44" t="n">
        <v>-0.16</v>
      </c>
      <c r="B44">
        <f>COUNTIFS('Data &amp; Returns'!$E$3:$E$315,"&lt;="&amp;A44,'Data &amp; Returns'!$E$3:$E$315,"&gt;"&amp;A43)</f>
        <v/>
      </c>
      <c r="C44" t="inlineStr">
        <is>
          <t>-0.170 to -0.160</t>
        </is>
      </c>
    </row>
    <row r="45">
      <c r="A45" t="n">
        <v>-0.15</v>
      </c>
      <c r="B45">
        <f>COUNTIFS('Data &amp; Returns'!$E$3:$E$315,"&lt;="&amp;A45,'Data &amp; Returns'!$E$3:$E$315,"&gt;"&amp;A44)</f>
        <v/>
      </c>
      <c r="C45" t="inlineStr">
        <is>
          <t>-0.160 to -0.150</t>
        </is>
      </c>
    </row>
    <row r="46">
      <c r="A46" t="n">
        <v>-0.14</v>
      </c>
      <c r="B46">
        <f>COUNTIFS('Data &amp; Returns'!$E$3:$E$315,"&lt;="&amp;A46,'Data &amp; Returns'!$E$3:$E$315,"&gt;"&amp;A45)</f>
        <v/>
      </c>
      <c r="C46" t="inlineStr">
        <is>
          <t>-0.150 to -0.140</t>
        </is>
      </c>
    </row>
    <row r="47">
      <c r="A47" t="n">
        <v>-0.13</v>
      </c>
      <c r="B47">
        <f>COUNTIFS('Data &amp; Returns'!$E$3:$E$315,"&lt;="&amp;A47,'Data &amp; Returns'!$E$3:$E$315,"&gt;"&amp;A46)</f>
        <v/>
      </c>
      <c r="C47" t="inlineStr">
        <is>
          <t>-0.140 to -0.130</t>
        </is>
      </c>
    </row>
    <row r="48">
      <c r="A48" t="n">
        <v>-0.12</v>
      </c>
      <c r="B48">
        <f>COUNTIFS('Data &amp; Returns'!$E$3:$E$315,"&lt;="&amp;A48,'Data &amp; Returns'!$E$3:$E$315,"&gt;"&amp;A47)</f>
        <v/>
      </c>
      <c r="C48" t="inlineStr">
        <is>
          <t>-0.130 to -0.120</t>
        </is>
      </c>
    </row>
    <row r="49">
      <c r="A49" t="n">
        <v>-0.11</v>
      </c>
      <c r="B49">
        <f>COUNTIFS('Data &amp; Returns'!$E$3:$E$315,"&lt;="&amp;A49,'Data &amp; Returns'!$E$3:$E$315,"&gt;"&amp;A48)</f>
        <v/>
      </c>
      <c r="C49" t="inlineStr">
        <is>
          <t>-0.120 to -0.110</t>
        </is>
      </c>
    </row>
    <row r="50">
      <c r="A50" t="n">
        <v>-0.1</v>
      </c>
      <c r="B50">
        <f>COUNTIFS('Data &amp; Returns'!$E$3:$E$315,"&lt;="&amp;A50,'Data &amp; Returns'!$E$3:$E$315,"&gt;"&amp;A49)</f>
        <v/>
      </c>
      <c r="C50" t="inlineStr">
        <is>
          <t>-0.110 to -0.100</t>
        </is>
      </c>
    </row>
    <row r="51">
      <c r="A51" t="n">
        <v>-0.09</v>
      </c>
      <c r="B51">
        <f>COUNTIFS('Data &amp; Returns'!$E$3:$E$315,"&lt;="&amp;A51,'Data &amp; Returns'!$E$3:$E$315,"&gt;"&amp;A50)</f>
        <v/>
      </c>
      <c r="C51" t="inlineStr">
        <is>
          <t>-0.100 to -0.090</t>
        </is>
      </c>
    </row>
    <row r="52">
      <c r="A52" t="n">
        <v>-0.08</v>
      </c>
      <c r="B52">
        <f>COUNTIFS('Data &amp; Returns'!$E$3:$E$315,"&lt;="&amp;A52,'Data &amp; Returns'!$E$3:$E$315,"&gt;"&amp;A51)</f>
        <v/>
      </c>
      <c r="C52" t="inlineStr">
        <is>
          <t>-0.090 to -0.080</t>
        </is>
      </c>
    </row>
    <row r="53">
      <c r="A53" t="n">
        <v>-0.07000000000000001</v>
      </c>
      <c r="B53">
        <f>COUNTIFS('Data &amp; Returns'!$E$3:$E$315,"&lt;="&amp;A53,'Data &amp; Returns'!$E$3:$E$315,"&gt;"&amp;A52)</f>
        <v/>
      </c>
      <c r="C53" t="inlineStr">
        <is>
          <t>-0.080 to -0.070</t>
        </is>
      </c>
    </row>
    <row r="54">
      <c r="A54" t="n">
        <v>-0.06</v>
      </c>
      <c r="B54">
        <f>COUNTIFS('Data &amp; Returns'!$E$3:$E$315,"&lt;="&amp;A54,'Data &amp; Returns'!$E$3:$E$315,"&gt;"&amp;A53)</f>
        <v/>
      </c>
      <c r="C54" t="inlineStr">
        <is>
          <t>-0.070 to -0.060</t>
        </is>
      </c>
    </row>
    <row r="55">
      <c r="A55" t="n">
        <v>-0.05</v>
      </c>
      <c r="B55">
        <f>COUNTIFS('Data &amp; Returns'!$E$3:$E$315,"&lt;="&amp;A55,'Data &amp; Returns'!$E$3:$E$315,"&gt;"&amp;A54)</f>
        <v/>
      </c>
      <c r="C55" t="inlineStr">
        <is>
          <t>-0.060 to -0.050</t>
        </is>
      </c>
    </row>
    <row r="56">
      <c r="A56" t="n">
        <v>-0.04</v>
      </c>
      <c r="B56">
        <f>COUNTIFS('Data &amp; Returns'!$E$3:$E$315,"&lt;="&amp;A56,'Data &amp; Returns'!$E$3:$E$315,"&gt;"&amp;A55)</f>
        <v/>
      </c>
      <c r="C56" t="inlineStr">
        <is>
          <t>-0.050 to -0.040</t>
        </is>
      </c>
    </row>
    <row r="57">
      <c r="A57" t="n">
        <v>-0.03</v>
      </c>
      <c r="B57">
        <f>COUNTIFS('Data &amp; Returns'!$E$3:$E$315,"&lt;="&amp;A57,'Data &amp; Returns'!$E$3:$E$315,"&gt;"&amp;A56)</f>
        <v/>
      </c>
      <c r="C57" t="inlineStr">
        <is>
          <t>-0.040 to -0.030</t>
        </is>
      </c>
    </row>
    <row r="58">
      <c r="A58" t="n">
        <v>-0.02</v>
      </c>
      <c r="B58">
        <f>COUNTIFS('Data &amp; Returns'!$E$3:$E$315,"&lt;="&amp;A58,'Data &amp; Returns'!$E$3:$E$315,"&gt;"&amp;A57)</f>
        <v/>
      </c>
      <c r="C58" t="inlineStr">
        <is>
          <t>-0.030 to -0.020</t>
        </is>
      </c>
    </row>
    <row r="59">
      <c r="A59" t="n">
        <v>-0.01</v>
      </c>
      <c r="B59">
        <f>COUNTIFS('Data &amp; Returns'!$E$3:$E$315,"&lt;="&amp;A59,'Data &amp; Returns'!$E$3:$E$315,"&gt;"&amp;A58)</f>
        <v/>
      </c>
      <c r="C59" t="inlineStr">
        <is>
          <t>-0.020 to -0.010</t>
        </is>
      </c>
    </row>
    <row r="60">
      <c r="A60" t="n">
        <v>0</v>
      </c>
      <c r="B60">
        <f>COUNTIFS('Data &amp; Returns'!$E$3:$E$315,"&lt;="&amp;A60,'Data &amp; Returns'!$E$3:$E$315,"&gt;"&amp;A59)</f>
        <v/>
      </c>
      <c r="C60" t="inlineStr">
        <is>
          <t>-0.010 to 0.000</t>
        </is>
      </c>
    </row>
    <row r="61">
      <c r="A61" t="n">
        <v>0.01</v>
      </c>
      <c r="B61">
        <f>COUNTIFS('Data &amp; Returns'!$E$3:$E$315,"&lt;="&amp;A61,'Data &amp; Returns'!$E$3:$E$315,"&gt;"&amp;A60)</f>
        <v/>
      </c>
      <c r="C61" t="inlineStr">
        <is>
          <t>0.000 to 0.010</t>
        </is>
      </c>
    </row>
    <row r="62">
      <c r="A62" t="n">
        <v>0.02</v>
      </c>
      <c r="B62">
        <f>COUNTIFS('Data &amp; Returns'!$E$3:$E$315,"&lt;="&amp;A62,'Data &amp; Returns'!$E$3:$E$315,"&gt;"&amp;A61)</f>
        <v/>
      </c>
      <c r="C62" t="inlineStr">
        <is>
          <t>0.010 to 0.020</t>
        </is>
      </c>
    </row>
    <row r="63">
      <c r="A63" t="n">
        <v>0.03</v>
      </c>
      <c r="B63">
        <f>COUNTIFS('Data &amp; Returns'!$E$3:$E$315,"&lt;="&amp;A63,'Data &amp; Returns'!$E$3:$E$315,"&gt;"&amp;A62)</f>
        <v/>
      </c>
      <c r="C63" t="inlineStr">
        <is>
          <t>0.020 to 0.030</t>
        </is>
      </c>
    </row>
    <row r="64">
      <c r="A64" t="n">
        <v>0.04</v>
      </c>
      <c r="B64">
        <f>COUNTIFS('Data &amp; Returns'!$E$3:$E$315,"&lt;="&amp;A64,'Data &amp; Returns'!$E$3:$E$315,"&gt;"&amp;A63)</f>
        <v/>
      </c>
      <c r="C64" t="inlineStr">
        <is>
          <t>0.030 to 0.040</t>
        </is>
      </c>
    </row>
    <row r="65">
      <c r="A65" t="n">
        <v>0.05</v>
      </c>
      <c r="B65">
        <f>COUNTIFS('Data &amp; Returns'!$E$3:$E$315,"&lt;="&amp;A65,'Data &amp; Returns'!$E$3:$E$315,"&gt;"&amp;A64)</f>
        <v/>
      </c>
      <c r="C65" t="inlineStr">
        <is>
          <t>0.040 to 0.050</t>
        </is>
      </c>
    </row>
    <row r="66">
      <c r="A66" t="n">
        <v>0.06</v>
      </c>
      <c r="B66">
        <f>COUNTIFS('Data &amp; Returns'!$E$3:$E$315,"&lt;="&amp;A66,'Data &amp; Returns'!$E$3:$E$315,"&gt;"&amp;A65)</f>
        <v/>
      </c>
      <c r="C66" t="inlineStr">
        <is>
          <t>0.050 to 0.060</t>
        </is>
      </c>
    </row>
    <row r="67">
      <c r="A67" t="n">
        <v>0.07000000000000001</v>
      </c>
      <c r="B67">
        <f>COUNTIFS('Data &amp; Returns'!$E$3:$E$315,"&lt;="&amp;A67,'Data &amp; Returns'!$E$3:$E$315,"&gt;"&amp;A66)</f>
        <v/>
      </c>
      <c r="C67" t="inlineStr">
        <is>
          <t>0.060 to 0.070</t>
        </is>
      </c>
    </row>
    <row r="68">
      <c r="A68" t="n">
        <v>0.08</v>
      </c>
      <c r="B68">
        <f>COUNTIFS('Data &amp; Returns'!$E$3:$E$315,"&lt;="&amp;A68,'Data &amp; Returns'!$E$3:$E$315,"&gt;"&amp;A67)</f>
        <v/>
      </c>
      <c r="C68" t="inlineStr">
        <is>
          <t>0.070 to 0.080</t>
        </is>
      </c>
    </row>
    <row r="69">
      <c r="A69" t="n">
        <v>0.09</v>
      </c>
      <c r="B69">
        <f>COUNTIFS('Data &amp; Returns'!$E$3:$E$315,"&lt;="&amp;A69,'Data &amp; Returns'!$E$3:$E$315,"&gt;"&amp;A68)</f>
        <v/>
      </c>
      <c r="C69" t="inlineStr">
        <is>
          <t>0.080 to 0.090</t>
        </is>
      </c>
    </row>
    <row r="70">
      <c r="A70" t="n">
        <v>0.1</v>
      </c>
      <c r="B70">
        <f>COUNTIFS('Data &amp; Returns'!$E$3:$E$315,"&lt;="&amp;A70,'Data &amp; Returns'!$E$3:$E$315,"&gt;"&amp;A69)</f>
        <v/>
      </c>
      <c r="C70" t="inlineStr">
        <is>
          <t>0.090 to 0.100</t>
        </is>
      </c>
    </row>
    <row r="71">
      <c r="A71" t="n">
        <v>0.11</v>
      </c>
      <c r="B71">
        <f>COUNTIFS('Data &amp; Returns'!$E$3:$E$315,"&lt;="&amp;A71,'Data &amp; Returns'!$E$3:$E$315,"&gt;"&amp;A70)</f>
        <v/>
      </c>
      <c r="C71" t="inlineStr">
        <is>
          <t>0.100 to 0.110</t>
        </is>
      </c>
    </row>
    <row r="72">
      <c r="A72" t="n">
        <v>0.12</v>
      </c>
      <c r="B72">
        <f>COUNTIFS('Data &amp; Returns'!$E$3:$E$315,"&lt;="&amp;A72,'Data &amp; Returns'!$E$3:$E$315,"&gt;"&amp;A71)</f>
        <v/>
      </c>
      <c r="C72" t="inlineStr">
        <is>
          <t>0.110 to 0.120</t>
        </is>
      </c>
    </row>
    <row r="73">
      <c r="A73" t="n">
        <v>0.13</v>
      </c>
      <c r="B73">
        <f>COUNTIFS('Data &amp; Returns'!$E$3:$E$315,"&lt;="&amp;A73,'Data &amp; Returns'!$E$3:$E$315,"&gt;"&amp;A72)</f>
        <v/>
      </c>
      <c r="C73" t="inlineStr">
        <is>
          <t>0.120 to 0.130</t>
        </is>
      </c>
    </row>
    <row r="74">
      <c r="A74" t="n">
        <v>0.14</v>
      </c>
      <c r="B74">
        <f>COUNTIFS('Data &amp; Returns'!$E$3:$E$315,"&lt;="&amp;A74,'Data &amp; Returns'!$E$3:$E$315,"&gt;"&amp;A73)</f>
        <v/>
      </c>
      <c r="C74" t="inlineStr">
        <is>
          <t>0.130 to 0.140</t>
        </is>
      </c>
    </row>
    <row r="75">
      <c r="A75" t="n">
        <v>0.15</v>
      </c>
      <c r="B75">
        <f>COUNTIFS('Data &amp; Returns'!$E$3:$E$315,"&lt;="&amp;A75,'Data &amp; Returns'!$E$3:$E$315,"&gt;"&amp;A74)</f>
        <v/>
      </c>
      <c r="C75" t="inlineStr">
        <is>
          <t>0.140 to 0.150</t>
        </is>
      </c>
    </row>
    <row r="76">
      <c r="A76" t="n">
        <v>0.16</v>
      </c>
      <c r="B76">
        <f>COUNTIFS('Data &amp; Returns'!$E$3:$E$315,"&lt;="&amp;A76,'Data &amp; Returns'!$E$3:$E$315,"&gt;"&amp;A75)</f>
        <v/>
      </c>
      <c r="C76" t="inlineStr">
        <is>
          <t>0.150 to 0.160</t>
        </is>
      </c>
    </row>
    <row r="77">
      <c r="A77" t="n">
        <v>0.17</v>
      </c>
      <c r="B77">
        <f>COUNTIFS('Data &amp; Returns'!$E$3:$E$315,"&lt;="&amp;A77,'Data &amp; Returns'!$E$3:$E$315,"&gt;"&amp;A76)</f>
        <v/>
      </c>
      <c r="C77" t="inlineStr">
        <is>
          <t>0.160 to 0.170</t>
        </is>
      </c>
    </row>
    <row r="78">
      <c r="A78" t="n">
        <v>0.18</v>
      </c>
      <c r="B78">
        <f>COUNTIFS('Data &amp; Returns'!$E$3:$E$315,"&lt;="&amp;A78,'Data &amp; Returns'!$E$3:$E$315,"&gt;"&amp;A77)</f>
        <v/>
      </c>
      <c r="C78" t="inlineStr">
        <is>
          <t>0.170 to 0.180</t>
        </is>
      </c>
    </row>
    <row r="79">
      <c r="A79" t="n">
        <v>0.19</v>
      </c>
      <c r="B79">
        <f>COUNTIFS('Data &amp; Returns'!$E$3:$E$315,"&lt;="&amp;A79,'Data &amp; Returns'!$E$3:$E$315,"&gt;"&amp;A78)</f>
        <v/>
      </c>
      <c r="C79" t="inlineStr">
        <is>
          <t>0.180 to 0.190</t>
        </is>
      </c>
    </row>
    <row r="80">
      <c r="A80" t="n">
        <v>0.2</v>
      </c>
      <c r="B80">
        <f>COUNTIFS('Data &amp; Returns'!$E$3:$E$315,"&lt;="&amp;A80,'Data &amp; Returns'!$E$3:$E$315,"&gt;"&amp;A79)</f>
        <v/>
      </c>
      <c r="C80" t="inlineStr">
        <is>
          <t>0.190 to 0.200</t>
        </is>
      </c>
    </row>
  </sheetData>
  <mergeCells count="3">
    <mergeCell ref="A38:C38"/>
    <mergeCell ref="A3:C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QUESTION 2 - SUMMARY OF RESULTS</t>
        </is>
      </c>
    </row>
    <row r="2"/>
    <row r="3">
      <c r="A3" s="9" t="inlineStr">
        <is>
          <t>Dataset Information</t>
        </is>
      </c>
    </row>
    <row r="4">
      <c r="A4" t="inlineStr">
        <is>
          <t>Stock Selected:</t>
        </is>
      </c>
      <c r="B4" t="inlineStr">
        <is>
          <t>Apple Inc. (AAPL)</t>
        </is>
      </c>
    </row>
    <row r="5">
      <c r="A5" t="inlineStr">
        <is>
          <t>Index Selected:</t>
        </is>
      </c>
      <c r="B5" t="inlineStr">
        <is>
          <t>S&amp;P 500</t>
        </is>
      </c>
    </row>
    <row r="6">
      <c r="A6" t="inlineStr">
        <is>
          <t>Data Frequency:</t>
        </is>
      </c>
      <c r="B6" t="inlineStr">
        <is>
          <t>Weekly</t>
        </is>
      </c>
    </row>
    <row r="7">
      <c r="A7" t="inlineStr">
        <is>
          <t>Period:</t>
        </is>
      </c>
      <c r="B7" t="inlineStr">
        <is>
          <t>November 2019 to November 2025 (6 years)</t>
        </is>
      </c>
    </row>
    <row r="8">
      <c r="A8" t="inlineStr">
        <is>
          <t>Number of Observations:</t>
        </is>
      </c>
      <c r="B8" t="inlineStr">
        <is>
          <t>313 weekly returns</t>
        </is>
      </c>
    </row>
    <row r="9"/>
    <row r="10">
      <c r="A10" s="9" t="inlineStr">
        <is>
          <t>Statistical Summary</t>
        </is>
      </c>
    </row>
    <row r="11">
      <c r="A11" s="10" t="inlineStr">
        <is>
          <t>Statistic</t>
        </is>
      </c>
      <c r="B11" s="10" t="inlineStr">
        <is>
          <t>S&amp;P 500</t>
        </is>
      </c>
      <c r="C11" s="10" t="inlineStr">
        <is>
          <t>AAPL</t>
        </is>
      </c>
      <c r="D11" s="10" t="inlineStr">
        <is>
          <t>Notes</t>
        </is>
      </c>
    </row>
    <row r="12">
      <c r="A12" t="inlineStr">
        <is>
          <t>Mean Weekly Return</t>
        </is>
      </c>
      <c r="B12" s="11">
        <f>Calculations!B6</f>
        <v/>
      </c>
      <c r="C12" s="11">
        <f>Calculations!C6</f>
        <v/>
      </c>
      <c r="D12" t="inlineStr">
        <is>
          <t>Average log return</t>
        </is>
      </c>
    </row>
    <row r="13">
      <c r="A13" t="inlineStr">
        <is>
          <t>Variance</t>
        </is>
      </c>
      <c r="B13" s="12">
        <f>Calculations!B12</f>
        <v/>
      </c>
      <c r="C13" s="12">
        <f>Calculations!C12</f>
        <v/>
      </c>
      <c r="D13" t="inlineStr">
        <is>
          <t>Manual &amp; Excel match</t>
        </is>
      </c>
    </row>
    <row r="14">
      <c r="A14" t="inlineStr">
        <is>
          <t>Standard Deviation</t>
        </is>
      </c>
      <c r="B14" s="12">
        <f>Calculations!B20</f>
        <v/>
      </c>
      <c r="C14" s="12">
        <f>Calculations!C20</f>
        <v/>
      </c>
      <c r="D14" t="inlineStr">
        <is>
          <t>Weekly volatility</t>
        </is>
      </c>
    </row>
    <row r="15">
      <c r="A15" t="inlineStr">
        <is>
          <t>Skewness</t>
        </is>
      </c>
      <c r="B15" s="12">
        <f>Calculations!B28</f>
        <v/>
      </c>
      <c r="C15" s="12">
        <f>Calculations!C28</f>
        <v/>
      </c>
      <c r="D15" t="inlineStr">
        <is>
          <t>Asymmetry measure</t>
        </is>
      </c>
    </row>
    <row r="16">
      <c r="A16" t="inlineStr">
        <is>
          <t>Kurtosis</t>
        </is>
      </c>
      <c r="B16" s="12">
        <f>Calculations!B29</f>
        <v/>
      </c>
      <c r="C16" s="12">
        <f>Calculations!C29</f>
        <v/>
      </c>
      <c r="D16" t="inlineStr">
        <is>
          <t>Tail heaviness</t>
        </is>
      </c>
    </row>
    <row r="17">
      <c r="A17" t="inlineStr">
        <is>
          <t>Covariance</t>
        </is>
      </c>
      <c r="B17" s="12">
        <f>Calculations!B36</f>
        <v/>
      </c>
      <c r="D17" t="inlineStr">
        <is>
          <t>Co-movement measure</t>
        </is>
      </c>
    </row>
    <row r="18">
      <c r="A18" t="inlineStr">
        <is>
          <t>Correlation</t>
        </is>
      </c>
      <c r="B18" s="12">
        <f>Calculations!B42</f>
        <v/>
      </c>
      <c r="D18" t="inlineStr">
        <is>
          <t>Standardized co-movement</t>
        </is>
      </c>
    </row>
    <row r="19">
      <c r="A19" t="inlineStr">
        <is>
          <t>Weeks Moving Together</t>
        </is>
      </c>
      <c r="B19" s="12">
        <f>Calculations!B32</f>
        <v/>
      </c>
      <c r="C19" s="12">
        <f>Calculations!C32</f>
        <v/>
      </c>
      <c r="D19" t="inlineStr">
        <is>
          <t>Same direction</t>
        </is>
      </c>
    </row>
    <row r="20">
      <c r="A20" t="inlineStr">
        <is>
          <t>Weeks Moving Apart</t>
        </is>
      </c>
      <c r="B20" s="12">
        <f>Calculations!B33</f>
        <v/>
      </c>
      <c r="C20" s="12">
        <f>Calculations!C33</f>
        <v/>
      </c>
      <c r="D20" t="inlineStr">
        <is>
          <t>Opposite direction</t>
        </is>
      </c>
    </row>
    <row r="21"/>
    <row r="22">
      <c r="A22" s="9" t="inlineStr">
        <is>
          <t>Regression Results (AAPL vs S&amp;P 500)</t>
        </is>
      </c>
    </row>
    <row r="23">
      <c r="A23" s="10" t="inlineStr">
        <is>
          <t>Parameter</t>
        </is>
      </c>
      <c r="B23" s="10" t="inlineStr">
        <is>
          <t>Value</t>
        </is>
      </c>
      <c r="D23" s="10" t="inlineStr">
        <is>
          <t>Interpretation</t>
        </is>
      </c>
    </row>
    <row r="24">
      <c r="A24" t="inlineStr">
        <is>
          <t>Beta (Slope)</t>
        </is>
      </c>
      <c r="B24" s="12">
        <f>Calculations!B48</f>
        <v/>
      </c>
      <c r="D24" t="inlineStr">
        <is>
          <t>Systematic risk</t>
        </is>
      </c>
    </row>
    <row r="25">
      <c r="A25" t="inlineStr">
        <is>
          <t>Alpha (Intercept)</t>
        </is>
      </c>
      <c r="B25" s="12">
        <f>Calculations!B49</f>
        <v/>
      </c>
      <c r="D25" t="inlineStr">
        <is>
          <t>Excess return</t>
        </is>
      </c>
    </row>
    <row r="26">
      <c r="A26" t="inlineStr">
        <is>
          <t>R-Square</t>
        </is>
      </c>
      <c r="B26" s="12">
        <f>Calculations!B50</f>
        <v/>
      </c>
      <c r="D26" t="inlineStr">
        <is>
          <t>Goodness of fit</t>
        </is>
      </c>
    </row>
    <row r="27"/>
  </sheetData>
  <mergeCells count="6">
    <mergeCell ref="A1:D1"/>
    <mergeCell ref="A22:D22"/>
    <mergeCell ref="A3:D3"/>
    <mergeCell ref="B17:C17"/>
    <mergeCell ref="B18:C18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2025-11-13T19:54:34Z</dcterms:created>
  <dcterms:modified xsi:type="dcterms:W3CDTF">2025-11-13T19:57:32Z</dcterms:modified>
</cp:coreProperties>
</file>
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&amp; Returns" sheetId="1" state="visible" r:id="rId1"/>
    <sheet name="Calculations" sheetId="2" state="visible" r:id="rId2"/>
    <sheet name="Histograms" sheetId="3" state="visible" r:id="rId3"/>
    <sheet name="Summary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%"/>
    <numFmt numFmtId="166" formatCode="0.00000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0"/>
    </font>
    <font>
      <b val="1"/>
      <sz val="12"/>
    </font>
    <font>
      <b val="1"/>
      <color rgb="00FFFFFF"/>
      <sz val="14"/>
    </font>
    <font>
      <b val="1"/>
      <sz val="1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203764"/>
        <bgColor rgb="00203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7" fillId="2" borderId="0" pivotButton="0" quotePrefix="0" xfId="0"/>
    <xf numFmtId="0" fontId="8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AAPL Returns vs S&amp;P 500 Returns</a:t>
            </a:r>
          </a:p>
        </rich>
      </tx>
    </title>
    <plotArea>
      <scatterChart>
        <ser>
          <idx val="0"/>
          <order val="0"/>
          <tx>
            <v>Returns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'Data &amp; Returns'!$D$3:$D$315</f>
            </numRef>
          </xVal>
          <yVal>
            <numRef>
              <f>'Data &amp; Returns'!$E$3:$E$315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S&amp;P 500 Weekly Returns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AAPL Weekly Returns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S&amp;P 500 Weekly Returns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'Histograms'!B4</f>
            </strRef>
          </tx>
          <spPr>
            <a:ln>
              <a:prstDash val="solid"/>
            </a:ln>
          </spPr>
          <cat>
            <numRef>
              <f>'Histograms'!$C$5:$C$35</f>
            </numRef>
          </cat>
          <val>
            <numRef>
              <f>'Histograms'!$B$5:$B$35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Return Bins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AAPL Weekly Returns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'Histograms'!B39</f>
            </strRef>
          </tx>
          <spPr>
            <a:ln>
              <a:prstDash val="solid"/>
            </a:ln>
          </spPr>
          <cat>
            <numRef>
              <f>'Histograms'!$C$40:$C$80</f>
            </numRef>
          </cat>
          <val>
            <numRef>
              <f>'Histograms'!$B$40:$B$80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Return Bins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36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8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S&amp;P 500 Price</t>
        </is>
      </c>
      <c r="C1" s="1" t="inlineStr">
        <is>
          <t>AAPL Price</t>
        </is>
      </c>
      <c r="D1" s="1" t="inlineStr">
        <is>
          <t>S&amp;P 500 Log Return</t>
        </is>
      </c>
      <c r="E1" s="1" t="inlineStr">
        <is>
          <t>AAPL Log Return</t>
        </is>
      </c>
      <c r="G1" s="7" t="inlineStr">
        <is>
          <t>(i) SCATTER DIAGRAM: AAPL vs S&amp;P 500</t>
        </is>
      </c>
    </row>
    <row r="2">
      <c r="A2" s="2" t="n">
        <v>43772</v>
      </c>
      <c r="B2" t="n">
        <v>3093.08</v>
      </c>
      <c r="C2" t="n">
        <v>65.04000000000001</v>
      </c>
      <c r="D2" t="n">
        <v>0.008813068626653387</v>
      </c>
      <c r="E2" t="n">
        <v>0.0212968195055388</v>
      </c>
    </row>
    <row r="3">
      <c r="A3" s="2" t="n">
        <v>43779</v>
      </c>
      <c r="B3" t="n">
        <v>3120.46</v>
      </c>
      <c r="C3" t="n">
        <v>66.44</v>
      </c>
      <c r="D3" t="n">
        <v>-0.003264457418942081</v>
      </c>
      <c r="E3" t="n">
        <v>-0.01516559245060246</v>
      </c>
    </row>
    <row r="4">
      <c r="A4" s="2" t="n">
        <v>43786</v>
      </c>
      <c r="B4" t="n">
        <v>3110.29</v>
      </c>
      <c r="C4" t="n">
        <v>65.44</v>
      </c>
      <c r="D4" t="n">
        <v>0.009818883705038944</v>
      </c>
      <c r="E4" t="n">
        <v>0.02071907764289431</v>
      </c>
    </row>
    <row r="5">
      <c r="A5" s="2" t="n">
        <v>43793</v>
      </c>
      <c r="B5" t="n">
        <v>3140.98</v>
      </c>
      <c r="C5" t="n">
        <v>66.81</v>
      </c>
      <c r="D5" t="n">
        <v>0.001568343333675865</v>
      </c>
      <c r="E5" t="n">
        <v>0.01293794536058205</v>
      </c>
    </row>
    <row r="6">
      <c r="A6" s="2" t="n">
        <v>43800</v>
      </c>
      <c r="B6" t="n">
        <v>3145.91</v>
      </c>
      <c r="C6" t="n">
        <v>67.68000000000001</v>
      </c>
      <c r="D6" t="n">
        <v>0.007249770854574006</v>
      </c>
      <c r="E6" t="n">
        <v>0.01626767023995492</v>
      </c>
    </row>
    <row r="7">
      <c r="A7" s="2" t="n">
        <v>43807</v>
      </c>
      <c r="B7" t="n">
        <v>3168.8</v>
      </c>
      <c r="C7" t="n">
        <v>68.79000000000001</v>
      </c>
      <c r="D7" t="n">
        <v>0.016407202460669</v>
      </c>
      <c r="E7" t="n">
        <v>0.01543485384076314</v>
      </c>
    </row>
    <row r="8">
      <c r="A8" s="2" t="n">
        <v>43814</v>
      </c>
      <c r="B8" t="n">
        <v>3221.22</v>
      </c>
      <c r="C8" t="n">
        <v>69.86</v>
      </c>
      <c r="D8" t="n">
        <v>0.00581933283845353</v>
      </c>
      <c r="E8" t="n">
        <v>0.03640342938800557</v>
      </c>
    </row>
    <row r="9">
      <c r="A9" s="2" t="n">
        <v>43821</v>
      </c>
      <c r="B9" t="n">
        <v>3240.02</v>
      </c>
      <c r="C9" t="n">
        <v>72.45</v>
      </c>
      <c r="D9" t="n">
        <v>-0.001596943598473373</v>
      </c>
      <c r="E9" t="n">
        <v>0.02602149408655188</v>
      </c>
    </row>
    <row r="10">
      <c r="A10" s="2" t="n">
        <v>43828</v>
      </c>
      <c r="B10" t="n">
        <v>3234.85</v>
      </c>
      <c r="C10" t="n">
        <v>74.36</v>
      </c>
      <c r="D10" t="n">
        <v>0.009384395506698995</v>
      </c>
      <c r="E10" t="n">
        <v>0.04239149915857789</v>
      </c>
    </row>
    <row r="11">
      <c r="A11" s="2" t="n">
        <v>43835</v>
      </c>
      <c r="B11" t="n">
        <v>3265.35</v>
      </c>
      <c r="C11" t="n">
        <v>77.58</v>
      </c>
      <c r="D11" t="n">
        <v>0.01949122883380944</v>
      </c>
      <c r="E11" t="n">
        <v>0.02670895126452178</v>
      </c>
    </row>
    <row r="12">
      <c r="A12" s="2" t="n">
        <v>43842</v>
      </c>
      <c r="B12" t="n">
        <v>3329.62</v>
      </c>
      <c r="C12" t="n">
        <v>79.68000000000001</v>
      </c>
      <c r="D12" t="n">
        <v>-0.01030938522023828</v>
      </c>
      <c r="E12" t="n">
        <v>-0.001255808277560342</v>
      </c>
    </row>
    <row r="13">
      <c r="A13" s="2" t="n">
        <v>43849</v>
      </c>
      <c r="B13" t="n">
        <v>3295.47</v>
      </c>
      <c r="C13" t="n">
        <v>79.58</v>
      </c>
      <c r="D13" t="n">
        <v>-0.02145462058649753</v>
      </c>
      <c r="E13" t="n">
        <v>-0.02803445572641574</v>
      </c>
    </row>
    <row r="14">
      <c r="A14" s="2" t="n">
        <v>43856</v>
      </c>
      <c r="B14" t="n">
        <v>3225.52</v>
      </c>
      <c r="C14" t="n">
        <v>77.38</v>
      </c>
      <c r="D14" t="n">
        <v>0.03119020217903341</v>
      </c>
      <c r="E14" t="n">
        <v>0.03342327758966579</v>
      </c>
    </row>
    <row r="15">
      <c r="A15" s="2" t="n">
        <v>43863</v>
      </c>
      <c r="B15" t="n">
        <v>3327.71</v>
      </c>
      <c r="C15" t="n">
        <v>80.01000000000001</v>
      </c>
      <c r="D15" t="n">
        <v>0.01563866591363505</v>
      </c>
      <c r="E15" t="n">
        <v>0.01525610985015118</v>
      </c>
    </row>
    <row r="16">
      <c r="A16" s="2" t="n">
        <v>43870</v>
      </c>
      <c r="B16" t="n">
        <v>3380.16</v>
      </c>
      <c r="C16" t="n">
        <v>81.23999999999999</v>
      </c>
      <c r="D16" t="n">
        <v>-0.01262611836459297</v>
      </c>
      <c r="E16" t="n">
        <v>-0.03737111992991739</v>
      </c>
    </row>
    <row r="17">
      <c r="A17" s="2" t="n">
        <v>43877</v>
      </c>
      <c r="B17" t="n">
        <v>3337.75</v>
      </c>
      <c r="C17" t="n">
        <v>78.26000000000001</v>
      </c>
      <c r="D17" t="n">
        <v>-0.1220622706642805</v>
      </c>
      <c r="E17" t="n">
        <v>-0.1355413700951207</v>
      </c>
    </row>
    <row r="18">
      <c r="A18" s="2" t="n">
        <v>43884</v>
      </c>
      <c r="B18" t="n">
        <v>2954.22</v>
      </c>
      <c r="C18" t="n">
        <v>68.34</v>
      </c>
      <c r="D18" t="n">
        <v>0.006124957772197905</v>
      </c>
      <c r="E18" t="n">
        <v>0.0557754790323485</v>
      </c>
    </row>
    <row r="19">
      <c r="A19" s="2" t="n">
        <v>43891</v>
      </c>
      <c r="B19" t="n">
        <v>2972.37</v>
      </c>
      <c r="C19" t="n">
        <v>72.26000000000001</v>
      </c>
      <c r="D19" t="n">
        <v>-0.09203466655513794</v>
      </c>
      <c r="E19" t="n">
        <v>-0.03908786839325835</v>
      </c>
    </row>
    <row r="20">
      <c r="A20" s="2" t="n">
        <v>43898</v>
      </c>
      <c r="B20" t="n">
        <v>2711.02</v>
      </c>
      <c r="C20" t="n">
        <v>69.48999999999999</v>
      </c>
      <c r="D20" t="n">
        <v>-0.1622789791528936</v>
      </c>
      <c r="E20" t="n">
        <v>-0.1927077287625898</v>
      </c>
    </row>
    <row r="21">
      <c r="A21" s="2" t="n">
        <v>43905</v>
      </c>
      <c r="B21" t="n">
        <v>2304.92</v>
      </c>
      <c r="C21" t="n">
        <v>57.31</v>
      </c>
      <c r="D21" t="n">
        <v>0.0976966850944738</v>
      </c>
      <c r="E21" t="n">
        <v>0.07769104598141062</v>
      </c>
    </row>
    <row r="22">
      <c r="A22" s="2" t="n">
        <v>43912</v>
      </c>
      <c r="B22" t="n">
        <v>2541.47</v>
      </c>
      <c r="C22" t="n">
        <v>61.94</v>
      </c>
      <c r="D22" t="n">
        <v>-0.02100225900708992</v>
      </c>
      <c r="E22" t="n">
        <v>-0.02600522700151621</v>
      </c>
    </row>
    <row r="23">
      <c r="A23" s="2" t="n">
        <v>43919</v>
      </c>
      <c r="B23" t="n">
        <v>2488.65</v>
      </c>
      <c r="C23" t="n">
        <v>60.35</v>
      </c>
      <c r="D23" t="n">
        <v>0.1142366828476501</v>
      </c>
      <c r="E23" t="n">
        <v>0.1045316718474255</v>
      </c>
    </row>
    <row r="24">
      <c r="A24" s="2" t="n">
        <v>43926</v>
      </c>
      <c r="B24" t="n">
        <v>2789.82</v>
      </c>
      <c r="C24" t="n">
        <v>67</v>
      </c>
      <c r="D24" t="n">
        <v>0.02992254143571757</v>
      </c>
      <c r="E24" t="n">
        <v>0.05375295351156097</v>
      </c>
    </row>
    <row r="25">
      <c r="A25" s="2" t="n">
        <v>43933</v>
      </c>
      <c r="B25" t="n">
        <v>2874.56</v>
      </c>
      <c r="C25" t="n">
        <v>70.7</v>
      </c>
      <c r="D25" t="n">
        <v>-0.01324411353679196</v>
      </c>
      <c r="E25" t="n">
        <v>0.0005656108748073297</v>
      </c>
    </row>
    <row r="26">
      <c r="A26" s="2" t="n">
        <v>43940</v>
      </c>
      <c r="B26" t="n">
        <v>2836.74</v>
      </c>
      <c r="C26" t="n">
        <v>70.73999999999999</v>
      </c>
      <c r="D26" t="n">
        <v>-0.002127941940515928</v>
      </c>
      <c r="E26" t="n">
        <v>0.02139792151755507</v>
      </c>
    </row>
    <row r="27">
      <c r="A27" s="2" t="n">
        <v>43947</v>
      </c>
      <c r="B27" t="n">
        <v>2830.71</v>
      </c>
      <c r="C27" t="n">
        <v>72.27</v>
      </c>
      <c r="D27" t="n">
        <v>0.03440659773213572</v>
      </c>
      <c r="E27" t="n">
        <v>0.07025585293597812</v>
      </c>
    </row>
    <row r="28">
      <c r="A28" s="2" t="n">
        <v>43954</v>
      </c>
      <c r="B28" t="n">
        <v>2929.8</v>
      </c>
      <c r="C28" t="n">
        <v>77.53</v>
      </c>
      <c r="D28" t="n">
        <v>-0.02281966630500351</v>
      </c>
      <c r="E28" t="n">
        <v>-0.007769040760024274</v>
      </c>
    </row>
    <row r="29">
      <c r="A29" s="2" t="n">
        <v>43961</v>
      </c>
      <c r="B29" t="n">
        <v>2863.7</v>
      </c>
      <c r="C29" t="n">
        <v>76.93000000000001</v>
      </c>
      <c r="D29" t="n">
        <v>0.03153642851942037</v>
      </c>
      <c r="E29" t="n">
        <v>0.03562457787375062</v>
      </c>
    </row>
    <row r="30">
      <c r="A30" s="2" t="n">
        <v>43968</v>
      </c>
      <c r="B30" t="n">
        <v>2955.45</v>
      </c>
      <c r="C30" t="n">
        <v>79.72</v>
      </c>
      <c r="D30" t="n">
        <v>0.02962335097080689</v>
      </c>
      <c r="E30" t="n">
        <v>-0.002889267759572742</v>
      </c>
    </row>
    <row r="31">
      <c r="A31" s="2" t="n">
        <v>43975</v>
      </c>
      <c r="B31" t="n">
        <v>3044.31</v>
      </c>
      <c r="C31" t="n">
        <v>79.48999999999999</v>
      </c>
      <c r="D31" t="n">
        <v>0.04797785896122955</v>
      </c>
      <c r="E31" t="n">
        <v>0.04176255092615157</v>
      </c>
    </row>
    <row r="32">
      <c r="A32" s="2" t="n">
        <v>43982</v>
      </c>
      <c r="B32" t="n">
        <v>3193.93</v>
      </c>
      <c r="C32" t="n">
        <v>82.88</v>
      </c>
      <c r="D32" t="n">
        <v>-0.04896378980903639</v>
      </c>
      <c r="E32" t="n">
        <v>0.02172182314683597</v>
      </c>
    </row>
    <row r="33">
      <c r="A33" s="2" t="n">
        <v>43989</v>
      </c>
      <c r="B33" t="n">
        <v>3041.31</v>
      </c>
      <c r="C33" t="n">
        <v>84.7</v>
      </c>
      <c r="D33" t="n">
        <v>0.01838446970884191</v>
      </c>
      <c r="E33" t="n">
        <v>0.03172287153479104</v>
      </c>
    </row>
    <row r="34">
      <c r="A34" s="2" t="n">
        <v>43996</v>
      </c>
      <c r="B34" t="n">
        <v>3097.74</v>
      </c>
      <c r="C34" t="n">
        <v>87.43000000000001</v>
      </c>
      <c r="D34" t="n">
        <v>-0.02904839903372284</v>
      </c>
      <c r="E34" t="n">
        <v>0.01114661222491342</v>
      </c>
    </row>
    <row r="35">
      <c r="A35" s="2" t="n">
        <v>44003</v>
      </c>
      <c r="B35" t="n">
        <v>3009.05</v>
      </c>
      <c r="C35" t="n">
        <v>88.41</v>
      </c>
      <c r="D35" t="n">
        <v>0.03941178510906874</v>
      </c>
      <c r="E35" t="n">
        <v>0.02920403709948452</v>
      </c>
    </row>
    <row r="36">
      <c r="A36" s="2" t="n">
        <v>44010</v>
      </c>
      <c r="B36" t="n">
        <v>3130.01</v>
      </c>
      <c r="C36" t="n">
        <v>91.03</v>
      </c>
      <c r="D36" t="n">
        <v>0.01742864837982932</v>
      </c>
      <c r="E36" t="n">
        <v>0.05232538820206139</v>
      </c>
    </row>
    <row r="37">
      <c r="A37" s="2" t="n">
        <v>44017</v>
      </c>
      <c r="B37" t="n">
        <v>3185.04</v>
      </c>
      <c r="C37" t="n">
        <v>95.92</v>
      </c>
      <c r="D37" t="n">
        <v>0.01238437799774403</v>
      </c>
      <c r="E37" t="n">
        <v>0.004265286050273322</v>
      </c>
    </row>
    <row r="38">
      <c r="A38" s="2" t="n">
        <v>44024</v>
      </c>
      <c r="B38" t="n">
        <v>3224.73</v>
      </c>
      <c r="C38" t="n">
        <v>96.33</v>
      </c>
      <c r="D38" t="n">
        <v>-0.002825930865964706</v>
      </c>
      <c r="E38" t="n">
        <v>-0.03938266958735458</v>
      </c>
    </row>
    <row r="39">
      <c r="A39" s="2" t="n">
        <v>44031</v>
      </c>
      <c r="B39" t="n">
        <v>3215.63</v>
      </c>
      <c r="C39" t="n">
        <v>92.61</v>
      </c>
      <c r="D39" t="n">
        <v>0.01710913896532236</v>
      </c>
      <c r="E39" t="n">
        <v>0.1374917938406196</v>
      </c>
    </row>
    <row r="40">
      <c r="A40" s="2" t="n">
        <v>44038</v>
      </c>
      <c r="B40" t="n">
        <v>3271.12</v>
      </c>
      <c r="C40" t="n">
        <v>106.26</v>
      </c>
      <c r="D40" t="n">
        <v>0.0242099284995213</v>
      </c>
      <c r="E40" t="n">
        <v>0.04463178057312001</v>
      </c>
    </row>
    <row r="41">
      <c r="A41" s="2" t="n">
        <v>44045</v>
      </c>
      <c r="B41" t="n">
        <v>3351.28</v>
      </c>
      <c r="C41" t="n">
        <v>111.11</v>
      </c>
      <c r="D41" t="n">
        <v>0.006415721881558568</v>
      </c>
      <c r="E41" t="n">
        <v>0.03362851167362502</v>
      </c>
    </row>
    <row r="42">
      <c r="A42" s="2" t="n">
        <v>44052</v>
      </c>
      <c r="B42" t="n">
        <v>3372.85</v>
      </c>
      <c r="C42" t="n">
        <v>114.91</v>
      </c>
      <c r="D42" t="n">
        <v>0.007181704158801012</v>
      </c>
      <c r="E42" t="n">
        <v>0.07911178039610746</v>
      </c>
    </row>
    <row r="43">
      <c r="A43" s="2" t="n">
        <v>44059</v>
      </c>
      <c r="B43" t="n">
        <v>3397.16</v>
      </c>
      <c r="C43" t="n">
        <v>124.37</v>
      </c>
      <c r="D43" t="n">
        <v>0.03210913668106233</v>
      </c>
      <c r="E43" t="n">
        <v>0.003531587264712668</v>
      </c>
    </row>
    <row r="44">
      <c r="A44" s="2" t="n">
        <v>44066</v>
      </c>
      <c r="B44" t="n">
        <v>3508.01</v>
      </c>
      <c r="C44" t="n">
        <v>124.81</v>
      </c>
      <c r="D44" t="n">
        <v>-0.02337535432499913</v>
      </c>
      <c r="E44" t="n">
        <v>-0.0313326684991395</v>
      </c>
    </row>
    <row r="45">
      <c r="A45" s="2" t="n">
        <v>44073</v>
      </c>
      <c r="B45" t="n">
        <v>3426.96</v>
      </c>
      <c r="C45" t="n">
        <v>120.96</v>
      </c>
      <c r="D45" t="n">
        <v>-0.02541238682120831</v>
      </c>
      <c r="E45" t="n">
        <v>-0.07696104113612832</v>
      </c>
    </row>
    <row r="46">
      <c r="A46" s="2" t="n">
        <v>44080</v>
      </c>
      <c r="B46" t="n">
        <v>3340.97</v>
      </c>
      <c r="C46" t="n">
        <v>112</v>
      </c>
      <c r="D46" t="n">
        <v>-0.00645605235621415</v>
      </c>
      <c r="E46" t="n">
        <v>-0.04716648305333439</v>
      </c>
    </row>
    <row r="47">
      <c r="A47" s="2" t="n">
        <v>44087</v>
      </c>
      <c r="B47" t="n">
        <v>3319.47</v>
      </c>
      <c r="C47" t="n">
        <v>106.84</v>
      </c>
      <c r="D47" t="n">
        <v>-0.006349438747599332</v>
      </c>
      <c r="E47" t="n">
        <v>0.04966336325192159</v>
      </c>
    </row>
    <row r="48">
      <c r="A48" s="2" t="n">
        <v>44094</v>
      </c>
      <c r="B48" t="n">
        <v>3298.46</v>
      </c>
      <c r="C48" t="n">
        <v>112.28</v>
      </c>
      <c r="D48" t="n">
        <v>0.01503887285348241</v>
      </c>
      <c r="E48" t="n">
        <v>0.006569042708015536</v>
      </c>
    </row>
    <row r="49">
      <c r="A49" s="2" t="n">
        <v>44101</v>
      </c>
      <c r="B49" t="n">
        <v>3348.44</v>
      </c>
      <c r="C49" t="n">
        <v>113.02</v>
      </c>
      <c r="D49" t="n">
        <v>0.03771267514366752</v>
      </c>
      <c r="E49" t="n">
        <v>0.03435269746091846</v>
      </c>
    </row>
    <row r="50">
      <c r="A50" s="2" t="n">
        <v>44108</v>
      </c>
      <c r="B50" t="n">
        <v>3477.13</v>
      </c>
      <c r="C50" t="n">
        <v>116.97</v>
      </c>
      <c r="D50" t="n">
        <v>0.00191928160580628</v>
      </c>
      <c r="E50" t="n">
        <v>0.01737405455409044</v>
      </c>
    </row>
    <row r="51">
      <c r="A51" s="2" t="n">
        <v>44115</v>
      </c>
      <c r="B51" t="n">
        <v>3483.81</v>
      </c>
      <c r="C51" t="n">
        <v>119.02</v>
      </c>
      <c r="D51" t="n">
        <v>-0.005301342065264879</v>
      </c>
      <c r="E51" t="n">
        <v>-0.03401165224396936</v>
      </c>
    </row>
    <row r="52">
      <c r="A52" s="2" t="n">
        <v>44122</v>
      </c>
      <c r="B52" t="n">
        <v>3465.39</v>
      </c>
      <c r="C52" t="n">
        <v>115.04</v>
      </c>
      <c r="D52" t="n">
        <v>-0.05804742800223844</v>
      </c>
      <c r="E52" t="n">
        <v>-0.05521724096668267</v>
      </c>
    </row>
    <row r="53">
      <c r="A53" s="2" t="n">
        <v>44129</v>
      </c>
      <c r="B53" t="n">
        <v>3269.96</v>
      </c>
      <c r="C53" t="n">
        <v>108.86</v>
      </c>
      <c r="D53" t="n">
        <v>0.0706787281712638</v>
      </c>
      <c r="E53" t="n">
        <v>0.08645239906235995</v>
      </c>
    </row>
    <row r="54">
      <c r="A54" s="2" t="n">
        <v>44136</v>
      </c>
      <c r="B54" t="n">
        <v>3509.44</v>
      </c>
      <c r="C54" t="n">
        <v>118.69</v>
      </c>
      <c r="D54" t="n">
        <v>0.0213438335907504</v>
      </c>
      <c r="E54" t="n">
        <v>0.004790931626546032</v>
      </c>
    </row>
    <row r="55">
      <c r="A55" s="2" t="n">
        <v>44143</v>
      </c>
      <c r="B55" t="n">
        <v>3585.15</v>
      </c>
      <c r="C55" t="n">
        <v>119.26</v>
      </c>
      <c r="D55" t="n">
        <v>-0.007731019410779703</v>
      </c>
      <c r="E55" t="n">
        <v>-0.01623028019724603</v>
      </c>
    </row>
    <row r="56">
      <c r="A56" s="2" t="n">
        <v>44150</v>
      </c>
      <c r="B56" t="n">
        <v>3557.54</v>
      </c>
      <c r="C56" t="n">
        <v>117.34</v>
      </c>
      <c r="D56" t="n">
        <v>0.02246098740566626</v>
      </c>
      <c r="E56" t="n">
        <v>-0.006412196552513792</v>
      </c>
    </row>
    <row r="57">
      <c r="A57" s="2" t="n">
        <v>44157</v>
      </c>
      <c r="B57" t="n">
        <v>3638.35</v>
      </c>
      <c r="C57" t="n">
        <v>116.59</v>
      </c>
      <c r="D57" t="n">
        <v>0.01656467134909308</v>
      </c>
      <c r="E57" t="n">
        <v>0.0474046214097814</v>
      </c>
    </row>
    <row r="58">
      <c r="A58" s="2" t="n">
        <v>44164</v>
      </c>
      <c r="B58" t="n">
        <v>3699.12</v>
      </c>
      <c r="C58" t="n">
        <v>122.25</v>
      </c>
      <c r="D58" t="n">
        <v>-0.009686897486703379</v>
      </c>
      <c r="E58" t="n">
        <v>0.001307937732439714</v>
      </c>
    </row>
    <row r="59">
      <c r="A59" s="2" t="n">
        <v>44171</v>
      </c>
      <c r="B59" t="n">
        <v>3663.46</v>
      </c>
      <c r="C59" t="n">
        <v>122.41</v>
      </c>
      <c r="D59" t="n">
        <v>0.0124647782854589</v>
      </c>
      <c r="E59" t="n">
        <v>0.03405131036026317</v>
      </c>
    </row>
    <row r="60">
      <c r="A60" s="2" t="n">
        <v>44178</v>
      </c>
      <c r="B60" t="n">
        <v>3709.41</v>
      </c>
      <c r="C60" t="n">
        <v>126.65</v>
      </c>
      <c r="D60" t="n">
        <v>-0.001713329444400377</v>
      </c>
      <c r="E60" t="n">
        <v>0.04114724758105383</v>
      </c>
    </row>
    <row r="61">
      <c r="A61" s="2" t="n">
        <v>44185</v>
      </c>
      <c r="B61" t="n">
        <v>3703.06</v>
      </c>
      <c r="C61" t="n">
        <v>131.97</v>
      </c>
      <c r="D61" t="n">
        <v>0.01421369314127096</v>
      </c>
      <c r="E61" t="n">
        <v>0.005440956519606923</v>
      </c>
    </row>
    <row r="62">
      <c r="A62" s="2" t="n">
        <v>44192</v>
      </c>
      <c r="B62" t="n">
        <v>3756.07</v>
      </c>
      <c r="C62" t="n">
        <v>132.69</v>
      </c>
      <c r="D62" t="n">
        <v>0.01810160562801328</v>
      </c>
      <c r="E62" t="n">
        <v>-0.004834941805203742</v>
      </c>
    </row>
    <row r="63">
      <c r="A63" s="2" t="n">
        <v>44199</v>
      </c>
      <c r="B63" t="n">
        <v>3824.68</v>
      </c>
      <c r="C63" t="n">
        <v>132.05</v>
      </c>
      <c r="D63" t="n">
        <v>-0.01486410093957471</v>
      </c>
      <c r="E63" t="n">
        <v>-0.03789179723487862</v>
      </c>
    </row>
    <row r="64">
      <c r="A64" s="2" t="n">
        <v>44206</v>
      </c>
      <c r="B64" t="n">
        <v>3768.25</v>
      </c>
      <c r="C64" t="n">
        <v>127.14</v>
      </c>
      <c r="D64" t="n">
        <v>0.01924440313712323</v>
      </c>
      <c r="E64" t="n">
        <v>0.0896885619822568</v>
      </c>
    </row>
    <row r="65">
      <c r="A65" s="2" t="n">
        <v>44213</v>
      </c>
      <c r="B65" t="n">
        <v>3841.47</v>
      </c>
      <c r="C65" t="n">
        <v>139.07</v>
      </c>
      <c r="D65" t="n">
        <v>-0.03368102464750403</v>
      </c>
      <c r="E65" t="n">
        <v>-0.05247855713013875</v>
      </c>
    </row>
    <row r="66">
      <c r="A66" s="2" t="n">
        <v>44220</v>
      </c>
      <c r="B66" t="n">
        <v>3714.24</v>
      </c>
      <c r="C66" t="n">
        <v>131.96</v>
      </c>
      <c r="D66" t="n">
        <v>0.04541983418685399</v>
      </c>
      <c r="E66" t="n">
        <v>0.03572871841071963</v>
      </c>
    </row>
    <row r="67">
      <c r="A67" s="2" t="n">
        <v>44227</v>
      </c>
      <c r="B67" t="n">
        <v>3886.83</v>
      </c>
      <c r="C67" t="n">
        <v>136.76</v>
      </c>
      <c r="D67" t="n">
        <v>0.01227376351812045</v>
      </c>
      <c r="E67" t="n">
        <v>-0.01021579457340559</v>
      </c>
    </row>
    <row r="68">
      <c r="A68" s="2" t="n">
        <v>44234</v>
      </c>
      <c r="B68" t="n">
        <v>3934.83</v>
      </c>
      <c r="C68" t="n">
        <v>135.37</v>
      </c>
      <c r="D68" t="n">
        <v>-0.007172091333684891</v>
      </c>
      <c r="E68" t="n">
        <v>-0.04147782007569599</v>
      </c>
    </row>
    <row r="69">
      <c r="A69" s="2" t="n">
        <v>44241</v>
      </c>
      <c r="B69" t="n">
        <v>3906.71</v>
      </c>
      <c r="C69" t="n">
        <v>129.87</v>
      </c>
      <c r="D69" t="n">
        <v>-0.02476460670416382</v>
      </c>
      <c r="E69" t="n">
        <v>-0.06859694947841428</v>
      </c>
    </row>
    <row r="70">
      <c r="A70" s="2" t="n">
        <v>44248</v>
      </c>
      <c r="B70" t="n">
        <v>3811.15</v>
      </c>
      <c r="C70" t="n">
        <v>121.26</v>
      </c>
      <c r="D70" t="n">
        <v>0.008046466492958593</v>
      </c>
      <c r="E70" t="n">
        <v>0.001318609058703353</v>
      </c>
    </row>
    <row r="71">
      <c r="A71" s="2" t="n">
        <v>44255</v>
      </c>
      <c r="B71" t="n">
        <v>3841.94</v>
      </c>
      <c r="C71" t="n">
        <v>121.42</v>
      </c>
      <c r="D71" t="n">
        <v>0.02605063257962707</v>
      </c>
      <c r="E71" t="n">
        <v>-0.003217160951775575</v>
      </c>
    </row>
    <row r="72">
      <c r="A72" s="2" t="n">
        <v>44262</v>
      </c>
      <c r="B72" t="n">
        <v>3943.34</v>
      </c>
      <c r="C72" t="n">
        <v>121.03</v>
      </c>
      <c r="D72" t="n">
        <v>-0.007698181196592032</v>
      </c>
      <c r="E72" t="n">
        <v>-0.008630042774214928</v>
      </c>
    </row>
    <row r="73">
      <c r="A73" s="2" t="n">
        <v>44269</v>
      </c>
      <c r="B73" t="n">
        <v>3913.1</v>
      </c>
      <c r="C73" t="n">
        <v>119.99</v>
      </c>
      <c r="D73" t="n">
        <v>0.01557911939816088</v>
      </c>
      <c r="E73" t="n">
        <v>0.01011617250612305</v>
      </c>
    </row>
    <row r="74">
      <c r="A74" s="2" t="n">
        <v>44276</v>
      </c>
      <c r="B74" t="n">
        <v>3974.54</v>
      </c>
      <c r="C74" t="n">
        <v>121.21</v>
      </c>
      <c r="D74" t="n">
        <v>0.011340545660177</v>
      </c>
      <c r="E74" t="n">
        <v>0.01465977688999683</v>
      </c>
    </row>
    <row r="75">
      <c r="A75" s="2" t="n">
        <v>44283</v>
      </c>
      <c r="B75" t="n">
        <v>4019.87</v>
      </c>
      <c r="C75" t="n">
        <v>123</v>
      </c>
      <c r="D75" t="n">
        <v>0.02673724405280272</v>
      </c>
      <c r="E75" t="n">
        <v>0.07808958205265443</v>
      </c>
    </row>
    <row r="76">
      <c r="A76" s="2" t="n">
        <v>44290</v>
      </c>
      <c r="B76" t="n">
        <v>4128.8</v>
      </c>
      <c r="C76" t="n">
        <v>132.99</v>
      </c>
      <c r="D76" t="n">
        <v>0.01363219563746931</v>
      </c>
      <c r="E76" t="n">
        <v>0.008759180089881554</v>
      </c>
    </row>
    <row r="77">
      <c r="A77" s="2" t="n">
        <v>44297</v>
      </c>
      <c r="B77" t="n">
        <v>4185.47</v>
      </c>
      <c r="C77" t="n">
        <v>134.16</v>
      </c>
      <c r="D77" t="n">
        <v>-0.001267087923721601</v>
      </c>
      <c r="E77" t="n">
        <v>0.001191895254331903</v>
      </c>
    </row>
    <row r="78">
      <c r="A78" s="2" t="n">
        <v>44304</v>
      </c>
      <c r="B78" t="n">
        <v>4180.17</v>
      </c>
      <c r="C78" t="n">
        <v>134.32</v>
      </c>
      <c r="D78" t="n">
        <v>0.0002391961108548356</v>
      </c>
      <c r="E78" t="n">
        <v>-0.02152238993385512</v>
      </c>
    </row>
    <row r="79">
      <c r="A79" s="2" t="n">
        <v>44311</v>
      </c>
      <c r="B79" t="n">
        <v>4181.17</v>
      </c>
      <c r="C79" t="n">
        <v>131.46</v>
      </c>
      <c r="D79" t="n">
        <v>0.01222534976723322</v>
      </c>
      <c r="E79" t="n">
        <v>-0.009554091094793212</v>
      </c>
    </row>
    <row r="80">
      <c r="A80" s="2" t="n">
        <v>44318</v>
      </c>
      <c r="B80" t="n">
        <v>4232.6</v>
      </c>
      <c r="C80" t="n">
        <v>130.21</v>
      </c>
      <c r="D80" t="n">
        <v>-0.01397759018626544</v>
      </c>
      <c r="E80" t="n">
        <v>-0.02142440091851256</v>
      </c>
    </row>
    <row r="81">
      <c r="A81" s="2" t="n">
        <v>44325</v>
      </c>
      <c r="B81" t="n">
        <v>4173.85</v>
      </c>
      <c r="C81" t="n">
        <v>127.45</v>
      </c>
      <c r="D81" t="n">
        <v>-0.004319484825130171</v>
      </c>
      <c r="E81" t="n">
        <v>-0.01597629678554109</v>
      </c>
    </row>
    <row r="82">
      <c r="A82" s="2" t="n">
        <v>44332</v>
      </c>
      <c r="B82" t="n">
        <v>4155.86</v>
      </c>
      <c r="C82" t="n">
        <v>125.43</v>
      </c>
      <c r="D82" t="n">
        <v>0.01154323179618438</v>
      </c>
      <c r="E82" t="n">
        <v>-0.006558974081807237</v>
      </c>
    </row>
    <row r="83">
      <c r="A83" s="2" t="n">
        <v>44339</v>
      </c>
      <c r="B83" t="n">
        <v>4204.11</v>
      </c>
      <c r="C83" t="n">
        <v>124.61</v>
      </c>
      <c r="D83" t="n">
        <v>0.006113369762920371</v>
      </c>
      <c r="E83" t="n">
        <v>0.0102196498233918</v>
      </c>
    </row>
    <row r="84">
      <c r="A84" s="2" t="n">
        <v>44346</v>
      </c>
      <c r="B84" t="n">
        <v>4229.89</v>
      </c>
      <c r="C84" t="n">
        <v>125.89</v>
      </c>
      <c r="D84" t="n">
        <v>0.004140460515807119</v>
      </c>
      <c r="E84" t="n">
        <v>0.01153069164729811</v>
      </c>
    </row>
    <row r="85">
      <c r="A85" s="2" t="n">
        <v>44353</v>
      </c>
      <c r="B85" t="n">
        <v>4247.44</v>
      </c>
      <c r="C85" t="n">
        <v>127.35</v>
      </c>
      <c r="D85" t="n">
        <v>-0.01925209421963388</v>
      </c>
      <c r="E85" t="n">
        <v>0.02412746494248406</v>
      </c>
    </row>
    <row r="86">
      <c r="A86" s="2" t="n">
        <v>44360</v>
      </c>
      <c r="B86" t="n">
        <v>4166.45</v>
      </c>
      <c r="C86" t="n">
        <v>130.46</v>
      </c>
      <c r="D86" t="n">
        <v>0.02705219333440339</v>
      </c>
      <c r="E86" t="n">
        <v>0.02010918769097787</v>
      </c>
    </row>
    <row r="87">
      <c r="A87" s="2" t="n">
        <v>44367</v>
      </c>
      <c r="B87" t="n">
        <v>4280.7</v>
      </c>
      <c r="C87" t="n">
        <v>133.11</v>
      </c>
      <c r="D87" t="n">
        <v>0.01659708387954048</v>
      </c>
      <c r="E87" t="n">
        <v>0.05018081344055934</v>
      </c>
    </row>
    <row r="88">
      <c r="A88" s="2" t="n">
        <v>44374</v>
      </c>
      <c r="B88" t="n">
        <v>4352.34</v>
      </c>
      <c r="C88" t="n">
        <v>139.96</v>
      </c>
      <c r="D88" t="n">
        <v>0.003946397474809342</v>
      </c>
      <c r="E88" t="n">
        <v>0.03613540800351425</v>
      </c>
    </row>
    <row r="89">
      <c r="A89" s="2" t="n">
        <v>44381</v>
      </c>
      <c r="B89" t="n">
        <v>4369.55</v>
      </c>
      <c r="C89" t="n">
        <v>145.11</v>
      </c>
      <c r="D89" t="n">
        <v>-0.0097485912973343</v>
      </c>
      <c r="E89" t="n">
        <v>0.008782217680318796</v>
      </c>
    </row>
    <row r="90">
      <c r="A90" s="2" t="n">
        <v>44388</v>
      </c>
      <c r="B90" t="n">
        <v>4327.16</v>
      </c>
      <c r="C90" t="n">
        <v>146.39</v>
      </c>
      <c r="D90" t="n">
        <v>0.01936906511747471</v>
      </c>
      <c r="E90" t="n">
        <v>0.01471462386113007</v>
      </c>
    </row>
    <row r="91">
      <c r="A91" s="2" t="n">
        <v>44395</v>
      </c>
      <c r="B91" t="n">
        <v>4411.79</v>
      </c>
      <c r="C91" t="n">
        <v>148.56</v>
      </c>
      <c r="D91" t="n">
        <v>-0.003753815275381728</v>
      </c>
      <c r="E91" t="n">
        <v>-0.0183416594883633</v>
      </c>
    </row>
    <row r="92">
      <c r="A92" s="2" t="n">
        <v>44402</v>
      </c>
      <c r="B92" t="n">
        <v>4395.26</v>
      </c>
      <c r="C92" t="n">
        <v>145.86</v>
      </c>
      <c r="D92" t="n">
        <v>0.009343597819637867</v>
      </c>
      <c r="E92" t="n">
        <v>0.001917808806984558</v>
      </c>
    </row>
    <row r="93">
      <c r="A93" s="2" t="n">
        <v>44409</v>
      </c>
      <c r="B93" t="n">
        <v>4436.52</v>
      </c>
      <c r="C93" t="n">
        <v>146.14</v>
      </c>
      <c r="D93" t="n">
        <v>0.00707059586570617</v>
      </c>
      <c r="E93" t="n">
        <v>0.02005215540762109</v>
      </c>
    </row>
    <row r="94">
      <c r="A94" s="2" t="n">
        <v>44416</v>
      </c>
      <c r="B94" t="n">
        <v>4468</v>
      </c>
      <c r="C94" t="n">
        <v>149.1</v>
      </c>
      <c r="D94" t="n">
        <v>-0.005910449354394162</v>
      </c>
      <c r="E94" t="n">
        <v>-0.006121987568605595</v>
      </c>
    </row>
    <row r="95">
      <c r="A95" s="2" t="n">
        <v>44423</v>
      </c>
      <c r="B95" t="n">
        <v>4441.67</v>
      </c>
      <c r="C95" t="n">
        <v>148.19</v>
      </c>
      <c r="D95" t="n">
        <v>0.01512702232581491</v>
      </c>
      <c r="E95" t="n">
        <v>0.002762898081571725</v>
      </c>
    </row>
    <row r="96">
      <c r="A96" s="2" t="n">
        <v>44430</v>
      </c>
      <c r="B96" t="n">
        <v>4509.37</v>
      </c>
      <c r="C96" t="n">
        <v>148.6</v>
      </c>
      <c r="D96" t="n">
        <v>0.005762442975362384</v>
      </c>
      <c r="E96" t="n">
        <v>0.03764062708545651</v>
      </c>
    </row>
    <row r="97">
      <c r="A97" s="2" t="n">
        <v>44437</v>
      </c>
      <c r="B97" t="n">
        <v>4535.43</v>
      </c>
      <c r="C97" t="n">
        <v>154.3</v>
      </c>
      <c r="D97" t="n">
        <v>-0.01708956746746089</v>
      </c>
      <c r="E97" t="n">
        <v>-0.03515381597761371</v>
      </c>
    </row>
    <row r="98">
      <c r="A98" s="2" t="n">
        <v>44444</v>
      </c>
      <c r="B98" t="n">
        <v>4458.58</v>
      </c>
      <c r="C98" t="n">
        <v>148.97</v>
      </c>
      <c r="D98" t="n">
        <v>-0.00575602973461195</v>
      </c>
      <c r="E98" t="n">
        <v>-0.01972744719953786</v>
      </c>
    </row>
    <row r="99">
      <c r="A99" s="2" t="n">
        <v>44451</v>
      </c>
      <c r="B99" t="n">
        <v>4432.99</v>
      </c>
      <c r="C99" t="n">
        <v>146.06</v>
      </c>
      <c r="D99" t="n">
        <v>0.005060499274872533</v>
      </c>
      <c r="E99" t="n">
        <v>0.005870724759502686</v>
      </c>
    </row>
    <row r="100">
      <c r="A100" s="2" t="n">
        <v>44458</v>
      </c>
      <c r="B100" t="n">
        <v>4455.48</v>
      </c>
      <c r="C100" t="n">
        <v>146.92</v>
      </c>
      <c r="D100" t="n">
        <v>-0.02234187150450074</v>
      </c>
      <c r="E100" t="n">
        <v>-0.02949414329195749</v>
      </c>
    </row>
    <row r="101">
      <c r="A101" s="2" t="n">
        <v>44465</v>
      </c>
      <c r="B101" t="n">
        <v>4357.04</v>
      </c>
      <c r="C101" t="n">
        <v>142.65</v>
      </c>
      <c r="D101" t="n">
        <v>0.007841491968997224</v>
      </c>
      <c r="E101" t="n">
        <v>0.001751007276312782</v>
      </c>
    </row>
    <row r="102">
      <c r="A102" s="2" t="n">
        <v>44472</v>
      </c>
      <c r="B102" t="n">
        <v>4391.34</v>
      </c>
      <c r="C102" t="n">
        <v>142.9</v>
      </c>
      <c r="D102" t="n">
        <v>0.01806042967243386</v>
      </c>
      <c r="E102" t="n">
        <v>0.0134845999616187</v>
      </c>
    </row>
    <row r="103">
      <c r="A103" s="2" t="n">
        <v>44479</v>
      </c>
      <c r="B103" t="n">
        <v>4471.37</v>
      </c>
      <c r="C103" t="n">
        <v>144.84</v>
      </c>
      <c r="D103" t="n">
        <v>0.01631087582370259</v>
      </c>
      <c r="E103" t="n">
        <v>0.0262339168116914</v>
      </c>
    </row>
    <row r="104">
      <c r="A104" s="2" t="n">
        <v>44486</v>
      </c>
      <c r="B104" t="n">
        <v>4544.9</v>
      </c>
      <c r="C104" t="n">
        <v>148.69</v>
      </c>
      <c r="D104" t="n">
        <v>0.01321946011668036</v>
      </c>
      <c r="E104" t="n">
        <v>0.007437469373987412</v>
      </c>
    </row>
    <row r="105">
      <c r="A105" s="2" t="n">
        <v>44493</v>
      </c>
      <c r="B105" t="n">
        <v>4605.38</v>
      </c>
      <c r="C105" t="n">
        <v>149.8</v>
      </c>
      <c r="D105" t="n">
        <v>0.0198116533569717</v>
      </c>
      <c r="E105" t="n">
        <v>0.009831353267082848</v>
      </c>
    </row>
    <row r="106">
      <c r="A106" s="2" t="n">
        <v>44500</v>
      </c>
      <c r="B106" t="n">
        <v>4697.53</v>
      </c>
      <c r="C106" t="n">
        <v>151.28</v>
      </c>
      <c r="D106" t="n">
        <v>-0.00312993972193239</v>
      </c>
      <c r="E106" t="n">
        <v>-0.008563799142933958</v>
      </c>
    </row>
    <row r="107">
      <c r="A107" s="2" t="n">
        <v>44507</v>
      </c>
      <c r="B107" t="n">
        <v>4682.85</v>
      </c>
      <c r="C107" t="n">
        <v>149.99</v>
      </c>
      <c r="D107" t="n">
        <v>0.003221473000196812</v>
      </c>
      <c r="E107" t="n">
        <v>0.0680367953282548</v>
      </c>
    </row>
    <row r="108">
      <c r="A108" s="2" t="n">
        <v>44514</v>
      </c>
      <c r="B108" t="n">
        <v>4697.96</v>
      </c>
      <c r="C108" t="n">
        <v>160.55</v>
      </c>
      <c r="D108" t="n">
        <v>-0.02224231813657183</v>
      </c>
      <c r="E108" t="n">
        <v>-0.02357053914258281</v>
      </c>
    </row>
    <row r="109">
      <c r="A109" s="2" t="n">
        <v>44521</v>
      </c>
      <c r="B109" t="n">
        <v>4594.62</v>
      </c>
      <c r="C109" t="n">
        <v>156.81</v>
      </c>
      <c r="D109" t="n">
        <v>-0.01230491653501995</v>
      </c>
      <c r="E109" t="n">
        <v>0.03157331146654982</v>
      </c>
    </row>
    <row r="110">
      <c r="A110" s="2" t="n">
        <v>44528</v>
      </c>
      <c r="B110" t="n">
        <v>4538.43</v>
      </c>
      <c r="C110" t="n">
        <v>161.84</v>
      </c>
      <c r="D110" t="n">
        <v>0.03753555355495608</v>
      </c>
      <c r="E110" t="n">
        <v>0.1032884247341262</v>
      </c>
    </row>
    <row r="111">
      <c r="A111" s="2" t="n">
        <v>44535</v>
      </c>
      <c r="B111" t="n">
        <v>4712.02</v>
      </c>
      <c r="C111" t="n">
        <v>179.45</v>
      </c>
      <c r="D111" t="n">
        <v>-0.01958346718441198</v>
      </c>
      <c r="E111" t="n">
        <v>-0.04741468260370758</v>
      </c>
    </row>
    <row r="112">
      <c r="A112" s="2" t="n">
        <v>44542</v>
      </c>
      <c r="B112" t="n">
        <v>4620.64</v>
      </c>
      <c r="C112" t="n">
        <v>171.14</v>
      </c>
      <c r="D112" t="n">
        <v>0.02250151909920825</v>
      </c>
      <c r="E112" t="n">
        <v>0.02959170498387753</v>
      </c>
    </row>
    <row r="113">
      <c r="A113" s="2" t="n">
        <v>44549</v>
      </c>
      <c r="B113" t="n">
        <v>4725.79</v>
      </c>
      <c r="C113" t="n">
        <v>176.28</v>
      </c>
      <c r="D113" t="n">
        <v>0.008510402746061253</v>
      </c>
      <c r="E113" t="n">
        <v>0.007291257396957003</v>
      </c>
    </row>
    <row r="114">
      <c r="A114" s="2" t="n">
        <v>44556</v>
      </c>
      <c r="B114" t="n">
        <v>4766.18</v>
      </c>
      <c r="C114" t="n">
        <v>177.57</v>
      </c>
      <c r="D114" t="n">
        <v>-0.01888185239194662</v>
      </c>
      <c r="E114" t="n">
        <v>-0.03088253658236251</v>
      </c>
    </row>
    <row r="115">
      <c r="A115" s="2" t="n">
        <v>44563</v>
      </c>
      <c r="B115" t="n">
        <v>4677.03</v>
      </c>
      <c r="C115" t="n">
        <v>172.17</v>
      </c>
      <c r="D115" t="n">
        <v>-0.003036443914687181</v>
      </c>
      <c r="E115" t="n">
        <v>0.005213776148526796</v>
      </c>
    </row>
    <row r="116">
      <c r="A116" s="2" t="n">
        <v>44570</v>
      </c>
      <c r="B116" t="n">
        <v>4662.85</v>
      </c>
      <c r="C116" t="n">
        <v>173.07</v>
      </c>
      <c r="D116" t="n">
        <v>-0.05849059970196813</v>
      </c>
      <c r="E116" t="n">
        <v>-0.06357213475039621</v>
      </c>
    </row>
    <row r="117">
      <c r="A117" s="2" t="n">
        <v>44577</v>
      </c>
      <c r="B117" t="n">
        <v>4397.94</v>
      </c>
      <c r="C117" t="n">
        <v>162.41</v>
      </c>
      <c r="D117" t="n">
        <v>0.007680854632186251</v>
      </c>
      <c r="E117" t="n">
        <v>0.04761372968597441</v>
      </c>
    </row>
    <row r="118">
      <c r="A118" s="2" t="n">
        <v>44584</v>
      </c>
      <c r="B118" t="n">
        <v>4431.85</v>
      </c>
      <c r="C118" t="n">
        <v>170.33</v>
      </c>
      <c r="D118" t="n">
        <v>0.01537806351190111</v>
      </c>
      <c r="E118" t="n">
        <v>0.01202162003440122</v>
      </c>
    </row>
    <row r="119">
      <c r="A119" s="2" t="n">
        <v>44591</v>
      </c>
      <c r="B119" t="n">
        <v>4500.53</v>
      </c>
      <c r="C119" t="n">
        <v>172.39</v>
      </c>
      <c r="D119" t="n">
        <v>-0.01836321118386986</v>
      </c>
      <c r="E119" t="n">
        <v>-0.02199308655388982</v>
      </c>
    </row>
    <row r="120">
      <c r="A120" s="2" t="n">
        <v>44598</v>
      </c>
      <c r="B120" t="n">
        <v>4418.64</v>
      </c>
      <c r="C120" t="n">
        <v>168.64</v>
      </c>
      <c r="D120" t="n">
        <v>-0.01591591519537441</v>
      </c>
      <c r="E120" t="n">
        <v>-0.007977657360219095</v>
      </c>
    </row>
    <row r="121">
      <c r="A121" s="2" t="n">
        <v>44605</v>
      </c>
      <c r="B121" t="n">
        <v>4348.87</v>
      </c>
      <c r="C121" t="n">
        <v>167.3</v>
      </c>
      <c r="D121" t="n">
        <v>0.008193763839142623</v>
      </c>
      <c r="E121" t="n">
        <v>-0.0147526384750383</v>
      </c>
    </row>
    <row r="122">
      <c r="A122" s="2" t="n">
        <v>44612</v>
      </c>
      <c r="B122" t="n">
        <v>4384.65</v>
      </c>
      <c r="C122" t="n">
        <v>164.85</v>
      </c>
      <c r="D122" t="n">
        <v>-0.01280326709978914</v>
      </c>
      <c r="E122" t="n">
        <v>-0.01024336741476099</v>
      </c>
    </row>
    <row r="123">
      <c r="A123" s="2" t="n">
        <v>44619</v>
      </c>
      <c r="B123" t="n">
        <v>4328.87</v>
      </c>
      <c r="C123" t="n">
        <v>163.17</v>
      </c>
      <c r="D123" t="n">
        <v>-0.02919634838689788</v>
      </c>
      <c r="E123" t="n">
        <v>-0.05311093960139774</v>
      </c>
    </row>
    <row r="124">
      <c r="A124" s="2" t="n">
        <v>44626</v>
      </c>
      <c r="B124" t="n">
        <v>4204.31</v>
      </c>
      <c r="C124" t="n">
        <v>154.73</v>
      </c>
      <c r="D124" t="n">
        <v>0.05973788343732887</v>
      </c>
      <c r="E124" t="n">
        <v>0.05806280666645039</v>
      </c>
    </row>
    <row r="125">
      <c r="A125" s="2" t="n">
        <v>44633</v>
      </c>
      <c r="B125" t="n">
        <v>4463.12</v>
      </c>
      <c r="C125" t="n">
        <v>163.98</v>
      </c>
      <c r="D125" t="n">
        <v>0.01775272079257011</v>
      </c>
      <c r="E125" t="n">
        <v>0.06344022338850873</v>
      </c>
    </row>
    <row r="126">
      <c r="A126" s="2" t="n">
        <v>44640</v>
      </c>
      <c r="B126" t="n">
        <v>4543.06</v>
      </c>
      <c r="C126" t="n">
        <v>174.72</v>
      </c>
      <c r="D126" t="n">
        <v>0.0006161348297878712</v>
      </c>
      <c r="E126" t="n">
        <v>-0.002349369329766075</v>
      </c>
    </row>
    <row r="127">
      <c r="A127" s="2" t="n">
        <v>44647</v>
      </c>
      <c r="B127" t="n">
        <v>4545.86</v>
      </c>
      <c r="C127" t="n">
        <v>174.31</v>
      </c>
      <c r="D127" t="n">
        <v>-0.01274737378558377</v>
      </c>
      <c r="E127" t="n">
        <v>-0.0245076145007737</v>
      </c>
    </row>
    <row r="128">
      <c r="A128" s="2" t="n">
        <v>44654</v>
      </c>
      <c r="B128" t="n">
        <v>4488.28</v>
      </c>
      <c r="C128" t="n">
        <v>170.09</v>
      </c>
      <c r="D128" t="n">
        <v>-0.02155052452621062</v>
      </c>
      <c r="E128" t="n">
        <v>-0.02862620179673835</v>
      </c>
    </row>
    <row r="129">
      <c r="A129" s="2" t="n">
        <v>44661</v>
      </c>
      <c r="B129" t="n">
        <v>4392.59</v>
      </c>
      <c r="C129" t="n">
        <v>165.29</v>
      </c>
      <c r="D129" t="n">
        <v>-0.02788842813541886</v>
      </c>
      <c r="E129" t="n">
        <v>-0.02140230891201668</v>
      </c>
    </row>
    <row r="130">
      <c r="A130" s="2" t="n">
        <v>44668</v>
      </c>
      <c r="B130" t="n">
        <v>4271.78</v>
      </c>
      <c r="C130" t="n">
        <v>161.79</v>
      </c>
      <c r="D130" t="n">
        <v>-0.03328599203927917</v>
      </c>
      <c r="E130" t="n">
        <v>-0.02592181202617541</v>
      </c>
    </row>
    <row r="131">
      <c r="A131" s="2" t="n">
        <v>44675</v>
      </c>
      <c r="B131" t="n">
        <v>4131.93</v>
      </c>
      <c r="C131" t="n">
        <v>157.65</v>
      </c>
      <c r="D131" t="n">
        <v>-0.002081095615345063</v>
      </c>
      <c r="E131" t="n">
        <v>-0.002349729592213406</v>
      </c>
    </row>
    <row r="132">
      <c r="A132" s="2" t="n">
        <v>44682</v>
      </c>
      <c r="B132" t="n">
        <v>4123.34</v>
      </c>
      <c r="C132" t="n">
        <v>157.28</v>
      </c>
      <c r="D132" t="n">
        <v>-0.02441441811014675</v>
      </c>
      <c r="E132" t="n">
        <v>-0.06684705013673588</v>
      </c>
    </row>
    <row r="133">
      <c r="A133" s="2" t="n">
        <v>44689</v>
      </c>
      <c r="B133" t="n">
        <v>4023.89</v>
      </c>
      <c r="C133" t="n">
        <v>147.11</v>
      </c>
      <c r="D133" t="n">
        <v>-0.03092388614336145</v>
      </c>
      <c r="E133" t="n">
        <v>-0.06690235782239534</v>
      </c>
    </row>
    <row r="134">
      <c r="A134" s="2" t="n">
        <v>44696</v>
      </c>
      <c r="B134" t="n">
        <v>3901.36</v>
      </c>
      <c r="C134" t="n">
        <v>137.59</v>
      </c>
      <c r="D134" t="n">
        <v>0.06376669753145632</v>
      </c>
      <c r="E134" t="n">
        <v>0.08395416104022017</v>
      </c>
    </row>
    <row r="135">
      <c r="A135" s="2" t="n">
        <v>44703</v>
      </c>
      <c r="B135" t="n">
        <v>4158.24</v>
      </c>
      <c r="C135" t="n">
        <v>149.64</v>
      </c>
      <c r="D135" t="n">
        <v>-0.01202417357274058</v>
      </c>
      <c r="E135" t="n">
        <v>-0.02888140542345598</v>
      </c>
    </row>
    <row r="136">
      <c r="A136" s="2" t="n">
        <v>44710</v>
      </c>
      <c r="B136" t="n">
        <v>4108.54</v>
      </c>
      <c r="C136" t="n">
        <v>145.38</v>
      </c>
      <c r="D136" t="n">
        <v>-0.05187069260832693</v>
      </c>
      <c r="E136" t="n">
        <v>-0.05842162304472673</v>
      </c>
    </row>
    <row r="137">
      <c r="A137" s="2" t="n">
        <v>44717</v>
      </c>
      <c r="B137" t="n">
        <v>3900.86</v>
      </c>
      <c r="C137" t="n">
        <v>137.13</v>
      </c>
      <c r="D137" t="n">
        <v>-0.05968744734468188</v>
      </c>
      <c r="E137" t="n">
        <v>-0.04146635969090637</v>
      </c>
    </row>
    <row r="138">
      <c r="A138" s="2" t="n">
        <v>44724</v>
      </c>
      <c r="B138" t="n">
        <v>3674.84</v>
      </c>
      <c r="C138" t="n">
        <v>131.56</v>
      </c>
      <c r="D138" t="n">
        <v>0.06247269349412064</v>
      </c>
      <c r="E138" t="n">
        <v>0.07396679900462023</v>
      </c>
    </row>
    <row r="139">
      <c r="A139" s="2" t="n">
        <v>44731</v>
      </c>
      <c r="B139" t="n">
        <v>3911.74</v>
      </c>
      <c r="C139" t="n">
        <v>141.66</v>
      </c>
      <c r="D139" t="n">
        <v>-0.02233754972930236</v>
      </c>
      <c r="E139" t="n">
        <v>-0.01945961116470618</v>
      </c>
    </row>
    <row r="140">
      <c r="A140" s="2" t="n">
        <v>44738</v>
      </c>
      <c r="B140" t="n">
        <v>3825.33</v>
      </c>
      <c r="C140" t="n">
        <v>138.93</v>
      </c>
      <c r="D140" t="n">
        <v>0.01917282807199193</v>
      </c>
      <c r="E140" t="n">
        <v>0.05673444944660645</v>
      </c>
    </row>
    <row r="141">
      <c r="A141" s="2" t="n">
        <v>44745</v>
      </c>
      <c r="B141" t="n">
        <v>3899.38</v>
      </c>
      <c r="C141" t="n">
        <v>147.04</v>
      </c>
      <c r="D141" t="n">
        <v>-0.009332064725854666</v>
      </c>
      <c r="E141" t="n">
        <v>0.0210633270848125</v>
      </c>
    </row>
    <row r="142">
      <c r="A142" s="2" t="n">
        <v>44752</v>
      </c>
      <c r="B142" t="n">
        <v>3863.16</v>
      </c>
      <c r="C142" t="n">
        <v>150.17</v>
      </c>
      <c r="D142" t="n">
        <v>0.02517005532430331</v>
      </c>
      <c r="E142" t="n">
        <v>0.0257688616015728</v>
      </c>
    </row>
    <row r="143">
      <c r="A143" s="2" t="n">
        <v>44759</v>
      </c>
      <c r="B143" t="n">
        <v>3961.63</v>
      </c>
      <c r="C143" t="n">
        <v>154.09</v>
      </c>
      <c r="D143" t="n">
        <v>0.04169206568814191</v>
      </c>
      <c r="E143" t="n">
        <v>0.05320269104415506</v>
      </c>
    </row>
    <row r="144">
      <c r="A144" s="2" t="n">
        <v>44766</v>
      </c>
      <c r="B144" t="n">
        <v>4130.29</v>
      </c>
      <c r="C144" t="n">
        <v>162.51</v>
      </c>
      <c r="D144" t="n">
        <v>0.003601003470727537</v>
      </c>
      <c r="E144" t="n">
        <v>0.01732490108988469</v>
      </c>
    </row>
    <row r="145">
      <c r="A145" s="2" t="n">
        <v>44773</v>
      </c>
      <c r="B145" t="n">
        <v>4145.19</v>
      </c>
      <c r="C145" t="n">
        <v>165.35</v>
      </c>
      <c r="D145" t="n">
        <v>0.03203942981237315</v>
      </c>
      <c r="E145" t="n">
        <v>0.04001126378969195</v>
      </c>
    </row>
    <row r="146">
      <c r="A146" s="2" t="n">
        <v>44780</v>
      </c>
      <c r="B146" t="n">
        <v>4280.15</v>
      </c>
      <c r="C146" t="n">
        <v>172.1</v>
      </c>
      <c r="D146" t="n">
        <v>-0.01214546528922597</v>
      </c>
      <c r="E146" t="n">
        <v>-0.003375825335056465</v>
      </c>
    </row>
    <row r="147">
      <c r="A147" s="2" t="n">
        <v>44787</v>
      </c>
      <c r="B147" t="n">
        <v>4228.48</v>
      </c>
      <c r="C147" t="n">
        <v>171.52</v>
      </c>
      <c r="D147" t="n">
        <v>-0.04123613764169557</v>
      </c>
      <c r="E147" t="n">
        <v>-0.04715321179688502</v>
      </c>
    </row>
    <row r="148">
      <c r="A148" s="2" t="n">
        <v>44794</v>
      </c>
      <c r="B148" t="n">
        <v>4057.66</v>
      </c>
      <c r="C148" t="n">
        <v>163.62</v>
      </c>
      <c r="D148" t="n">
        <v>-0.03342865435007206</v>
      </c>
      <c r="E148" t="n">
        <v>-0.04890934985628896</v>
      </c>
    </row>
    <row r="149">
      <c r="A149" s="2" t="n">
        <v>44801</v>
      </c>
      <c r="B149" t="n">
        <v>3924.26</v>
      </c>
      <c r="C149" t="n">
        <v>155.81</v>
      </c>
      <c r="D149" t="n">
        <v>0.03581634191474267</v>
      </c>
      <c r="E149" t="n">
        <v>0.009962404383509713</v>
      </c>
    </row>
    <row r="150">
      <c r="A150" s="2" t="n">
        <v>44808</v>
      </c>
      <c r="B150" t="n">
        <v>4067.36</v>
      </c>
      <c r="C150" t="n">
        <v>157.37</v>
      </c>
      <c r="D150" t="n">
        <v>-0.04887953817221694</v>
      </c>
      <c r="E150" t="n">
        <v>-0.04330861498032337</v>
      </c>
    </row>
    <row r="151">
      <c r="A151" s="2" t="n">
        <v>44815</v>
      </c>
      <c r="B151" t="n">
        <v>3873.33</v>
      </c>
      <c r="C151" t="n">
        <v>150.7</v>
      </c>
      <c r="D151" t="n">
        <v>-0.04761318824981041</v>
      </c>
      <c r="E151" t="n">
        <v>-0.001793245922717225</v>
      </c>
    </row>
    <row r="152">
      <c r="A152" s="2" t="n">
        <v>44822</v>
      </c>
      <c r="B152" t="n">
        <v>3693.23</v>
      </c>
      <c r="C152" t="n">
        <v>150.43</v>
      </c>
      <c r="D152" t="n">
        <v>-0.02957001200428394</v>
      </c>
      <c r="E152" t="n">
        <v>-0.084795948376163</v>
      </c>
    </row>
    <row r="153">
      <c r="A153" s="2" t="n">
        <v>44829</v>
      </c>
      <c r="B153" t="n">
        <v>3585.62</v>
      </c>
      <c r="C153" t="n">
        <v>138.2</v>
      </c>
      <c r="D153" t="n">
        <v>0.0149588687765822</v>
      </c>
      <c r="E153" t="n">
        <v>0.01358316187445316</v>
      </c>
    </row>
    <row r="154">
      <c r="A154" s="2" t="n">
        <v>44836</v>
      </c>
      <c r="B154" t="n">
        <v>3639.66</v>
      </c>
      <c r="C154" t="n">
        <v>140.09</v>
      </c>
      <c r="D154" t="n">
        <v>-0.01567029585950877</v>
      </c>
      <c r="E154" t="n">
        <v>-0.01228154913735764</v>
      </c>
    </row>
    <row r="155">
      <c r="A155" s="2" t="n">
        <v>44843</v>
      </c>
      <c r="B155" t="n">
        <v>3583.07</v>
      </c>
      <c r="C155" t="n">
        <v>138.38</v>
      </c>
      <c r="D155" t="n">
        <v>0.04626892972508202</v>
      </c>
      <c r="E155" t="n">
        <v>0.06226411266740595</v>
      </c>
    </row>
    <row r="156">
      <c r="A156" s="2" t="n">
        <v>44850</v>
      </c>
      <c r="B156" t="n">
        <v>3752.75</v>
      </c>
      <c r="C156" t="n">
        <v>147.27</v>
      </c>
      <c r="D156" t="n">
        <v>0.03875940651971226</v>
      </c>
      <c r="E156" t="n">
        <v>0.05592031341076917</v>
      </c>
    </row>
    <row r="157">
      <c r="A157" s="2" t="n">
        <v>44857</v>
      </c>
      <c r="B157" t="n">
        <v>3901.06</v>
      </c>
      <c r="C157" t="n">
        <v>155.74</v>
      </c>
      <c r="D157" t="n">
        <v>-0.03402743166448301</v>
      </c>
      <c r="E157" t="n">
        <v>-0.1181844260781752</v>
      </c>
    </row>
    <row r="158">
      <c r="A158" s="2" t="n">
        <v>44864</v>
      </c>
      <c r="B158" t="n">
        <v>3770.55</v>
      </c>
      <c r="C158" t="n">
        <v>138.38</v>
      </c>
      <c r="D158" t="n">
        <v>0.0573044178353546</v>
      </c>
      <c r="E158" t="n">
        <v>0.07862976735491765</v>
      </c>
    </row>
    <row r="159">
      <c r="A159" s="2" t="n">
        <v>44871</v>
      </c>
      <c r="B159" t="n">
        <v>3992.93</v>
      </c>
      <c r="C159" t="n">
        <v>149.7</v>
      </c>
      <c r="D159" t="n">
        <v>-0.006933695523010699</v>
      </c>
      <c r="E159" t="n">
        <v>0.01056523333116088</v>
      </c>
    </row>
    <row r="160">
      <c r="A160" s="2" t="n">
        <v>44878</v>
      </c>
      <c r="B160" t="n">
        <v>3965.34</v>
      </c>
      <c r="C160" t="n">
        <v>151.29</v>
      </c>
      <c r="D160" t="n">
        <v>0.01521153130699479</v>
      </c>
      <c r="E160" t="n">
        <v>-0.02124328381786227</v>
      </c>
    </row>
    <row r="161">
      <c r="A161" s="2" t="n">
        <v>44885</v>
      </c>
      <c r="B161" t="n">
        <v>4026.12</v>
      </c>
      <c r="C161" t="n">
        <v>148.11</v>
      </c>
      <c r="D161" t="n">
        <v>0.01125746963111819</v>
      </c>
      <c r="E161" t="n">
        <v>-0.002027575714899864</v>
      </c>
    </row>
    <row r="162">
      <c r="A162" s="2" t="n">
        <v>44892</v>
      </c>
      <c r="B162" t="n">
        <v>4071.7</v>
      </c>
      <c r="C162" t="n">
        <v>147.81</v>
      </c>
      <c r="D162" t="n">
        <v>-0.03430729356418639</v>
      </c>
      <c r="E162" t="n">
        <v>-0.03897448137758559</v>
      </c>
    </row>
    <row r="163">
      <c r="A163" s="2" t="n">
        <v>44899</v>
      </c>
      <c r="B163" t="n">
        <v>3934.38</v>
      </c>
      <c r="C163" t="n">
        <v>142.16</v>
      </c>
      <c r="D163" t="n">
        <v>-0.02106736158676545</v>
      </c>
      <c r="E163" t="n">
        <v>-0.05531463812590579</v>
      </c>
    </row>
    <row r="164">
      <c r="A164" s="2" t="n">
        <v>44906</v>
      </c>
      <c r="B164" t="n">
        <v>3852.36</v>
      </c>
      <c r="C164" t="n">
        <v>134.51</v>
      </c>
      <c r="D164" t="n">
        <v>-0.001959159695300347</v>
      </c>
      <c r="E164" t="n">
        <v>-0.01989779203533645</v>
      </c>
    </row>
    <row r="165">
      <c r="A165" s="2" t="n">
        <v>44913</v>
      </c>
      <c r="B165" t="n">
        <v>3844.82</v>
      </c>
      <c r="C165" t="n">
        <v>131.86</v>
      </c>
      <c r="D165" t="n">
        <v>-0.00138463802912128</v>
      </c>
      <c r="E165" t="n">
        <v>-0.01474490979050863</v>
      </c>
    </row>
    <row r="166">
      <c r="A166" s="2" t="n">
        <v>44920</v>
      </c>
      <c r="B166" t="n">
        <v>3839.5</v>
      </c>
      <c r="C166" t="n">
        <v>129.93</v>
      </c>
      <c r="D166" t="n">
        <v>0.01437206847608476</v>
      </c>
      <c r="E166" t="n">
        <v>-0.002388750895075092</v>
      </c>
    </row>
    <row r="167">
      <c r="A167" s="2" t="n">
        <v>44927</v>
      </c>
      <c r="B167" t="n">
        <v>3895.08</v>
      </c>
      <c r="C167" t="n">
        <v>129.62</v>
      </c>
      <c r="D167" t="n">
        <v>0.0263526169732942</v>
      </c>
      <c r="E167" t="n">
        <v>0.03888832553878212</v>
      </c>
    </row>
    <row r="168">
      <c r="A168" s="2" t="n">
        <v>44934</v>
      </c>
      <c r="B168" t="n">
        <v>3999.09</v>
      </c>
      <c r="C168" t="n">
        <v>134.76</v>
      </c>
      <c r="D168" t="n">
        <v>-0.006643525821174627</v>
      </c>
      <c r="E168" t="n">
        <v>0.02281579364518565</v>
      </c>
    </row>
    <row r="169">
      <c r="A169" s="2" t="n">
        <v>44941</v>
      </c>
      <c r="B169" t="n">
        <v>3972.61</v>
      </c>
      <c r="C169" t="n">
        <v>137.87</v>
      </c>
      <c r="D169" t="n">
        <v>0.02435727271050035</v>
      </c>
      <c r="E169" t="n">
        <v>0.05681584249611686</v>
      </c>
    </row>
    <row r="170">
      <c r="A170" s="2" t="n">
        <v>44948</v>
      </c>
      <c r="B170" t="n">
        <v>4070.56</v>
      </c>
      <c r="C170" t="n">
        <v>145.93</v>
      </c>
      <c r="D170" t="n">
        <v>0.01606460250380662</v>
      </c>
      <c r="E170" t="n">
        <v>0.05706704165814577</v>
      </c>
    </row>
    <row r="171">
      <c r="A171" s="2" t="n">
        <v>44955</v>
      </c>
      <c r="B171" t="n">
        <v>4136.48</v>
      </c>
      <c r="C171" t="n">
        <v>154.5</v>
      </c>
      <c r="D171" t="n">
        <v>-0.01118775146282222</v>
      </c>
      <c r="E171" t="n">
        <v>-0.02284803655010248</v>
      </c>
    </row>
    <row r="172">
      <c r="A172" s="2" t="n">
        <v>44962</v>
      </c>
      <c r="B172" t="n">
        <v>4090.46</v>
      </c>
      <c r="C172" t="n">
        <v>151.01</v>
      </c>
      <c r="D172" t="n">
        <v>-0.002783508844711093</v>
      </c>
      <c r="E172" t="n">
        <v>0.01014635137498108</v>
      </c>
    </row>
    <row r="173">
      <c r="A173" s="2" t="n">
        <v>44969</v>
      </c>
      <c r="B173" t="n">
        <v>4079.09</v>
      </c>
      <c r="C173" t="n">
        <v>152.55</v>
      </c>
      <c r="D173" t="n">
        <v>-0.0270977541083477</v>
      </c>
      <c r="E173" t="n">
        <v>-0.03903456201112605</v>
      </c>
    </row>
    <row r="174">
      <c r="A174" s="2" t="n">
        <v>44976</v>
      </c>
      <c r="B174" t="n">
        <v>3970.04</v>
      </c>
      <c r="C174" t="n">
        <v>146.71</v>
      </c>
      <c r="D174" t="n">
        <v>0.01886358780461739</v>
      </c>
      <c r="E174" t="n">
        <v>0.02902064342669745</v>
      </c>
    </row>
    <row r="175">
      <c r="A175" s="2" t="n">
        <v>44983</v>
      </c>
      <c r="B175" t="n">
        <v>4045.64</v>
      </c>
      <c r="C175" t="n">
        <v>151.03</v>
      </c>
      <c r="D175" t="n">
        <v>-0.04656074225908149</v>
      </c>
      <c r="E175" t="n">
        <v>-0.01689353433549598</v>
      </c>
    </row>
    <row r="176">
      <c r="A176" s="2" t="n">
        <v>44990</v>
      </c>
      <c r="B176" t="n">
        <v>3861.59</v>
      </c>
      <c r="C176" t="n">
        <v>148.5</v>
      </c>
      <c r="D176" t="n">
        <v>0.01415512762761456</v>
      </c>
      <c r="E176" t="n">
        <v>0.04284015867649223</v>
      </c>
    </row>
    <row r="177">
      <c r="A177" s="2" t="n">
        <v>44997</v>
      </c>
      <c r="B177" t="n">
        <v>3916.64</v>
      </c>
      <c r="C177" t="n">
        <v>155</v>
      </c>
      <c r="D177" t="n">
        <v>0.0137812905003356</v>
      </c>
      <c r="E177" t="n">
        <v>0.03330997888153286</v>
      </c>
    </row>
    <row r="178">
      <c r="A178" s="2" t="n">
        <v>45004</v>
      </c>
      <c r="B178" t="n">
        <v>3970.99</v>
      </c>
      <c r="C178" t="n">
        <v>160.25</v>
      </c>
      <c r="D178" t="n">
        <v>0.03423969731392303</v>
      </c>
      <c r="E178" t="n">
        <v>0.0286041337647739</v>
      </c>
    </row>
    <row r="179">
      <c r="A179" s="2" t="n">
        <v>45011</v>
      </c>
      <c r="B179" t="n">
        <v>4109.31</v>
      </c>
      <c r="C179" t="n">
        <v>164.9</v>
      </c>
      <c r="D179" t="n">
        <v>-0.001044516202791351</v>
      </c>
      <c r="E179" t="n">
        <v>-0.001456487695273359</v>
      </c>
    </row>
    <row r="180">
      <c r="A180" s="2" t="n">
        <v>45018</v>
      </c>
      <c r="B180" t="n">
        <v>4105.02</v>
      </c>
      <c r="C180" t="n">
        <v>164.66</v>
      </c>
      <c r="D180" t="n">
        <v>0.007914961989024472</v>
      </c>
      <c r="E180" t="n">
        <v>0.003334650072219818</v>
      </c>
    </row>
    <row r="181">
      <c r="A181" s="2" t="n">
        <v>45025</v>
      </c>
      <c r="B181" t="n">
        <v>4137.64</v>
      </c>
      <c r="C181" t="n">
        <v>165.21</v>
      </c>
      <c r="D181" t="n">
        <v>-0.0009962327752700074</v>
      </c>
      <c r="E181" t="n">
        <v>-0.00115071326630262</v>
      </c>
    </row>
    <row r="182">
      <c r="A182" s="2" t="n">
        <v>45032</v>
      </c>
      <c r="B182" t="n">
        <v>4133.52</v>
      </c>
      <c r="C182" t="n">
        <v>165.02</v>
      </c>
      <c r="D182" t="n">
        <v>0.008661983581716604</v>
      </c>
      <c r="E182" t="n">
        <v>0.02784763158022983</v>
      </c>
    </row>
    <row r="183">
      <c r="A183" s="2" t="n">
        <v>45039</v>
      </c>
      <c r="B183" t="n">
        <v>4169.48</v>
      </c>
      <c r="C183" t="n">
        <v>169.68</v>
      </c>
      <c r="D183" t="n">
        <v>-0.008001747541495659</v>
      </c>
      <c r="E183" t="n">
        <v>0.02266666597636316</v>
      </c>
    </row>
    <row r="184">
      <c r="A184" s="2" t="n">
        <v>45046</v>
      </c>
      <c r="B184" t="n">
        <v>4136.25</v>
      </c>
      <c r="C184" t="n">
        <v>173.57</v>
      </c>
      <c r="D184" t="n">
        <v>-0.002946615645027543</v>
      </c>
      <c r="E184" t="n">
        <v>-0.005778024973302701</v>
      </c>
    </row>
    <row r="185">
      <c r="A185" s="2" t="n">
        <v>45053</v>
      </c>
      <c r="B185" t="n">
        <v>4124.08</v>
      </c>
      <c r="C185" t="n">
        <v>172.57</v>
      </c>
      <c r="D185" t="n">
        <v>0.0163302114063361</v>
      </c>
      <c r="E185" t="n">
        <v>0.01489689067371013</v>
      </c>
    </row>
    <row r="186">
      <c r="A186" s="2" t="n">
        <v>45060</v>
      </c>
      <c r="B186" t="n">
        <v>4191.98</v>
      </c>
      <c r="C186" t="n">
        <v>175.16</v>
      </c>
      <c r="D186" t="n">
        <v>0.003208127141960858</v>
      </c>
      <c r="E186" t="n">
        <v>0.001540261007895869</v>
      </c>
    </row>
    <row r="187">
      <c r="A187" s="2" t="n">
        <v>45067</v>
      </c>
      <c r="B187" t="n">
        <v>4205.45</v>
      </c>
      <c r="C187" t="n">
        <v>175.43</v>
      </c>
      <c r="D187" t="n">
        <v>0.01812529149801948</v>
      </c>
      <c r="E187" t="n">
        <v>0.03098064706865791</v>
      </c>
    </row>
    <row r="188">
      <c r="A188" s="2" t="n">
        <v>45074</v>
      </c>
      <c r="B188" t="n">
        <v>4282.37</v>
      </c>
      <c r="C188" t="n">
        <v>180.95</v>
      </c>
      <c r="D188" t="n">
        <v>0.003843276615940024</v>
      </c>
      <c r="E188" t="n">
        <v>5.526235805904471e-05</v>
      </c>
    </row>
    <row r="189">
      <c r="A189" s="2" t="n">
        <v>45081</v>
      </c>
      <c r="B189" t="n">
        <v>4298.86</v>
      </c>
      <c r="C189" t="n">
        <v>180.96</v>
      </c>
      <c r="D189" t="n">
        <v>0.02543184334427228</v>
      </c>
      <c r="E189" t="n">
        <v>0.02164728675221424</v>
      </c>
    </row>
    <row r="190">
      <c r="A190" s="2" t="n">
        <v>45088</v>
      </c>
      <c r="B190" t="n">
        <v>4409.59</v>
      </c>
      <c r="C190" t="n">
        <v>184.92</v>
      </c>
      <c r="D190" t="n">
        <v>-0.01398985127213033</v>
      </c>
      <c r="E190" t="n">
        <v>0.009472621961590363</v>
      </c>
    </row>
    <row r="191">
      <c r="A191" s="2" t="n">
        <v>45095</v>
      </c>
      <c r="B191" t="n">
        <v>4348.33</v>
      </c>
      <c r="C191" t="n">
        <v>186.68</v>
      </c>
      <c r="D191" t="n">
        <v>0.02319762244772351</v>
      </c>
      <c r="E191" t="n">
        <v>0.03830758684858535</v>
      </c>
    </row>
    <row r="192">
      <c r="A192" s="2" t="n">
        <v>45102</v>
      </c>
      <c r="B192" t="n">
        <v>4450.38</v>
      </c>
      <c r="C192" t="n">
        <v>193.97</v>
      </c>
      <c r="D192" t="n">
        <v>-0.0116236097083878</v>
      </c>
      <c r="E192" t="n">
        <v>-0.01710687759357539</v>
      </c>
    </row>
    <row r="193">
      <c r="A193" s="2" t="n">
        <v>45109</v>
      </c>
      <c r="B193" t="n">
        <v>4398.95</v>
      </c>
      <c r="C193" t="n">
        <v>190.68</v>
      </c>
      <c r="D193" t="n">
        <v>0.02391524037701544</v>
      </c>
      <c r="E193" t="n">
        <v>5.244250991042422e-05</v>
      </c>
    </row>
    <row r="194">
      <c r="A194" s="2" t="n">
        <v>45116</v>
      </c>
      <c r="B194" t="n">
        <v>4505.42</v>
      </c>
      <c r="C194" t="n">
        <v>190.69</v>
      </c>
      <c r="D194" t="n">
        <v>0.006839403065279734</v>
      </c>
      <c r="E194" t="n">
        <v>0.006533750342946131</v>
      </c>
    </row>
    <row r="195">
      <c r="A195" s="2" t="n">
        <v>45123</v>
      </c>
      <c r="B195" t="n">
        <v>4536.34</v>
      </c>
      <c r="C195" t="n">
        <v>191.94</v>
      </c>
      <c r="D195" t="n">
        <v>0.01006525966759605</v>
      </c>
      <c r="E195" t="n">
        <v>0.0200641127392634</v>
      </c>
    </row>
    <row r="196">
      <c r="A196" s="2" t="n">
        <v>45130</v>
      </c>
      <c r="B196" t="n">
        <v>4582.23</v>
      </c>
      <c r="C196" t="n">
        <v>195.83</v>
      </c>
      <c r="D196" t="n">
        <v>-0.02300256161877679</v>
      </c>
      <c r="E196" t="n">
        <v>-0.07329519541642951</v>
      </c>
    </row>
    <row r="197">
      <c r="A197" s="2" t="n">
        <v>45137</v>
      </c>
      <c r="B197" t="n">
        <v>4478.03</v>
      </c>
      <c r="C197" t="n">
        <v>181.99</v>
      </c>
      <c r="D197" t="n">
        <v>-0.003126791840377456</v>
      </c>
      <c r="E197" t="n">
        <v>-0.02334866198383525</v>
      </c>
    </row>
    <row r="198">
      <c r="A198" s="2" t="n">
        <v>45144</v>
      </c>
      <c r="B198" t="n">
        <v>4464.05</v>
      </c>
      <c r="C198" t="n">
        <v>177.79</v>
      </c>
      <c r="D198" t="n">
        <v>-0.02135978038371894</v>
      </c>
      <c r="E198" t="n">
        <v>-0.01873564511834159</v>
      </c>
    </row>
    <row r="199">
      <c r="A199" s="2" t="n">
        <v>45151</v>
      </c>
      <c r="B199" t="n">
        <v>4369.71</v>
      </c>
      <c r="C199" t="n">
        <v>174.49</v>
      </c>
      <c r="D199" t="n">
        <v>0.008204781527287172</v>
      </c>
      <c r="E199" t="n">
        <v>0.02333722450625352</v>
      </c>
    </row>
    <row r="200">
      <c r="A200" s="2" t="n">
        <v>45158</v>
      </c>
      <c r="B200" t="n">
        <v>4405.71</v>
      </c>
      <c r="C200" t="n">
        <v>178.61</v>
      </c>
      <c r="D200" t="n">
        <v>0.02467428808716933</v>
      </c>
      <c r="E200" t="n">
        <v>0.05897326253099611</v>
      </c>
    </row>
    <row r="201">
      <c r="A201" s="2" t="n">
        <v>45165</v>
      </c>
      <c r="B201" t="n">
        <v>4515.77</v>
      </c>
      <c r="C201" t="n">
        <v>189.46</v>
      </c>
      <c r="D201" t="n">
        <v>-0.01298988762120686</v>
      </c>
      <c r="E201" t="n">
        <v>-0.06138364515489075</v>
      </c>
    </row>
    <row r="202">
      <c r="A202" s="2" t="n">
        <v>45172</v>
      </c>
      <c r="B202" t="n">
        <v>4457.49</v>
      </c>
      <c r="C202" t="n">
        <v>178.18</v>
      </c>
      <c r="D202" t="n">
        <v>-0.00160982363755864</v>
      </c>
      <c r="E202" t="n">
        <v>-0.0179511601444318</v>
      </c>
    </row>
    <row r="203">
      <c r="A203" s="2" t="n">
        <v>45179</v>
      </c>
      <c r="B203" t="n">
        <v>4450.32</v>
      </c>
      <c r="C203" t="n">
        <v>175.01</v>
      </c>
      <c r="D203" t="n">
        <v>-0.029706712656642</v>
      </c>
      <c r="E203" t="n">
        <v>-0.001257861801070893</v>
      </c>
    </row>
    <row r="204">
      <c r="A204" s="2" t="n">
        <v>45186</v>
      </c>
      <c r="B204" t="n">
        <v>4320.06</v>
      </c>
      <c r="C204" t="n">
        <v>174.79</v>
      </c>
      <c r="D204" t="n">
        <v>-0.007437206900178579</v>
      </c>
      <c r="E204" t="n">
        <v>-0.02069438013026861</v>
      </c>
    </row>
    <row r="205">
      <c r="A205" s="2" t="n">
        <v>45193</v>
      </c>
      <c r="B205" t="n">
        <v>4288.05</v>
      </c>
      <c r="C205" t="n">
        <v>171.21</v>
      </c>
      <c r="D205" t="n">
        <v>0.004757731549404775</v>
      </c>
      <c r="E205" t="n">
        <v>0.03602339608352877</v>
      </c>
    </row>
    <row r="206">
      <c r="A206" s="2" t="n">
        <v>45200</v>
      </c>
      <c r="B206" t="n">
        <v>4308.5</v>
      </c>
      <c r="C206" t="n">
        <v>177.49</v>
      </c>
      <c r="D206" t="n">
        <v>0.004464892761540559</v>
      </c>
      <c r="E206" t="n">
        <v>0.007633196404771485</v>
      </c>
    </row>
    <row r="207">
      <c r="A207" s="2" t="n">
        <v>45207</v>
      </c>
      <c r="B207" t="n">
        <v>4327.78</v>
      </c>
      <c r="C207" t="n">
        <v>178.85</v>
      </c>
      <c r="D207" t="n">
        <v>-0.02423428398476905</v>
      </c>
      <c r="E207" t="n">
        <v>-0.03394975350639622</v>
      </c>
    </row>
    <row r="208">
      <c r="A208" s="2" t="n">
        <v>45214</v>
      </c>
      <c r="B208" t="n">
        <v>4224.16</v>
      </c>
      <c r="C208" t="n">
        <v>172.88</v>
      </c>
      <c r="D208" t="n">
        <v>-0.02560581445938402</v>
      </c>
      <c r="E208" t="n">
        <v>-0.02732506566433933</v>
      </c>
    </row>
    <row r="209">
      <c r="A209" s="2" t="n">
        <v>45221</v>
      </c>
      <c r="B209" t="n">
        <v>4117.37</v>
      </c>
      <c r="C209" t="n">
        <v>168.22</v>
      </c>
      <c r="D209" t="n">
        <v>0.05687664090334639</v>
      </c>
      <c r="E209" t="n">
        <v>0.04889772727086309</v>
      </c>
    </row>
    <row r="210">
      <c r="A210" s="2" t="n">
        <v>45228</v>
      </c>
      <c r="B210" t="n">
        <v>4358.34</v>
      </c>
      <c r="C210" t="n">
        <v>176.65</v>
      </c>
      <c r="D210" t="n">
        <v>0.01297094179594674</v>
      </c>
      <c r="E210" t="n">
        <v>0.05372452844633653</v>
      </c>
    </row>
    <row r="211">
      <c r="A211" s="2" t="n">
        <v>45235</v>
      </c>
      <c r="B211" t="n">
        <v>4415.24</v>
      </c>
      <c r="C211" t="n">
        <v>186.4</v>
      </c>
      <c r="D211" t="n">
        <v>0.02212591633133202</v>
      </c>
      <c r="E211" t="n">
        <v>0.0174962584871406</v>
      </c>
    </row>
    <row r="212">
      <c r="A212" s="2" t="n">
        <v>45242</v>
      </c>
      <c r="B212" t="n">
        <v>4514.02</v>
      </c>
      <c r="C212" t="n">
        <v>189.69</v>
      </c>
      <c r="D212" t="n">
        <v>0.009989767163104797</v>
      </c>
      <c r="E212" t="n">
        <v>0.001475004218326301</v>
      </c>
    </row>
    <row r="213">
      <c r="A213" s="2" t="n">
        <v>45249</v>
      </c>
      <c r="B213" t="n">
        <v>4559.34</v>
      </c>
      <c r="C213" t="n">
        <v>189.97</v>
      </c>
      <c r="D213" t="n">
        <v>0.007710354049898103</v>
      </c>
      <c r="E213" t="n">
        <v>0.00666301880094491</v>
      </c>
    </row>
    <row r="214">
      <c r="A214" s="2" t="n">
        <v>45256</v>
      </c>
      <c r="B214" t="n">
        <v>4594.63</v>
      </c>
      <c r="C214" t="n">
        <v>191.24</v>
      </c>
      <c r="D214" t="n">
        <v>0.002117622271937392</v>
      </c>
      <c r="E214" t="n">
        <v>0.02310478795897512</v>
      </c>
    </row>
    <row r="215">
      <c r="A215" s="2" t="n">
        <v>45263</v>
      </c>
      <c r="B215" t="n">
        <v>4604.37</v>
      </c>
      <c r="C215" t="n">
        <v>195.71</v>
      </c>
      <c r="D215" t="n">
        <v>0.02463132217062493</v>
      </c>
      <c r="E215" t="n">
        <v>0.009458980208435755</v>
      </c>
    </row>
    <row r="216">
      <c r="A216" s="2" t="n">
        <v>45270</v>
      </c>
      <c r="B216" t="n">
        <v>4719.19</v>
      </c>
      <c r="C216" t="n">
        <v>197.57</v>
      </c>
      <c r="D216" t="n">
        <v>0.007481705439914485</v>
      </c>
      <c r="E216" t="n">
        <v>-0.0202987770828371</v>
      </c>
    </row>
    <row r="217">
      <c r="A217" s="2" t="n">
        <v>45277</v>
      </c>
      <c r="B217" t="n">
        <v>4754.63</v>
      </c>
      <c r="C217" t="n">
        <v>193.6</v>
      </c>
      <c r="D217" t="n">
        <v>0.003191784710975985</v>
      </c>
      <c r="E217" t="n">
        <v>-0.005542189101232491</v>
      </c>
    </row>
    <row r="218">
      <c r="A218" s="2" t="n">
        <v>45284</v>
      </c>
      <c r="B218" t="n">
        <v>4769.83</v>
      </c>
      <c r="C218" t="n">
        <v>192.53</v>
      </c>
      <c r="D218" t="n">
        <v>-0.01533556266813473</v>
      </c>
      <c r="E218" t="n">
        <v>-0.06076097350010235</v>
      </c>
    </row>
    <row r="219">
      <c r="A219" s="2" t="n">
        <v>45291</v>
      </c>
      <c r="B219" t="n">
        <v>4697.24</v>
      </c>
      <c r="C219" t="n">
        <v>181.18</v>
      </c>
      <c r="D219" t="n">
        <v>0.01826637871586836</v>
      </c>
      <c r="E219" t="n">
        <v>0.02582546142240448</v>
      </c>
    </row>
    <row r="220">
      <c r="A220" s="2" t="n">
        <v>45298</v>
      </c>
      <c r="B220" t="n">
        <v>4783.83</v>
      </c>
      <c r="C220" t="n">
        <v>185.92</v>
      </c>
      <c r="D220" t="n">
        <v>0.01163398285976206</v>
      </c>
      <c r="E220" t="n">
        <v>0.0298846018108622</v>
      </c>
    </row>
    <row r="221">
      <c r="A221" s="2" t="n">
        <v>45305</v>
      </c>
      <c r="B221" t="n">
        <v>4839.81</v>
      </c>
      <c r="C221" t="n">
        <v>191.56</v>
      </c>
      <c r="D221" t="n">
        <v>0.01051518406377356</v>
      </c>
      <c r="E221" t="n">
        <v>0.004479407458709794</v>
      </c>
    </row>
    <row r="222">
      <c r="A222" s="2" t="n">
        <v>45312</v>
      </c>
      <c r="B222" t="n">
        <v>4890.97</v>
      </c>
      <c r="C222" t="n">
        <v>192.42</v>
      </c>
      <c r="D222" t="n">
        <v>0.01373481170282096</v>
      </c>
      <c r="E222" t="n">
        <v>-0.03474058618985738</v>
      </c>
    </row>
    <row r="223">
      <c r="A223" s="2" t="n">
        <v>45319</v>
      </c>
      <c r="B223" t="n">
        <v>4958.61</v>
      </c>
      <c r="C223" t="n">
        <v>185.85</v>
      </c>
      <c r="D223" t="n">
        <v>0.01362034111236493</v>
      </c>
      <c r="E223" t="n">
        <v>0.01601315241520467</v>
      </c>
    </row>
    <row r="224">
      <c r="A224" s="2" t="n">
        <v>45326</v>
      </c>
      <c r="B224" t="n">
        <v>5026.61</v>
      </c>
      <c r="C224" t="n">
        <v>188.85</v>
      </c>
      <c r="D224" t="n">
        <v>-0.004194508242069255</v>
      </c>
      <c r="E224" t="n">
        <v>-0.03524451434309223</v>
      </c>
    </row>
    <row r="225">
      <c r="A225" s="2" t="n">
        <v>45333</v>
      </c>
      <c r="B225" t="n">
        <v>5005.57</v>
      </c>
      <c r="C225" t="n">
        <v>182.31</v>
      </c>
      <c r="D225" t="n">
        <v>0.0164907539859186</v>
      </c>
      <c r="E225" t="n">
        <v>0.001151221243828195</v>
      </c>
    </row>
    <row r="226">
      <c r="A226" s="2" t="n">
        <v>45340</v>
      </c>
      <c r="B226" t="n">
        <v>5088.8</v>
      </c>
      <c r="C226" t="n">
        <v>182.52</v>
      </c>
      <c r="D226" t="n">
        <v>0.009442778273215388</v>
      </c>
      <c r="E226" t="n">
        <v>-0.01579358025814135</v>
      </c>
    </row>
    <row r="227">
      <c r="A227" s="2" t="n">
        <v>45347</v>
      </c>
      <c r="B227" t="n">
        <v>5137.08</v>
      </c>
      <c r="C227" t="n">
        <v>179.66</v>
      </c>
      <c r="D227" t="n">
        <v>-0.002609942061040329</v>
      </c>
      <c r="E227" t="n">
        <v>-0.0509828145179184</v>
      </c>
    </row>
    <row r="228">
      <c r="A228" s="2" t="n">
        <v>45354</v>
      </c>
      <c r="B228" t="n">
        <v>5123.69</v>
      </c>
      <c r="C228" t="n">
        <v>170.73</v>
      </c>
      <c r="D228" t="n">
        <v>-0.001288964495631342</v>
      </c>
      <c r="E228" t="n">
        <v>0.0110092855083694</v>
      </c>
    </row>
    <row r="229">
      <c r="A229" s="2" t="n">
        <v>45361</v>
      </c>
      <c r="B229" t="n">
        <v>5117.09</v>
      </c>
      <c r="C229" t="n">
        <v>172.62</v>
      </c>
      <c r="D229" t="n">
        <v>0.02262427594111255</v>
      </c>
      <c r="E229" t="n">
        <v>-0.001971586605601786</v>
      </c>
    </row>
    <row r="230">
      <c r="A230" s="2" t="n">
        <v>45368</v>
      </c>
      <c r="B230" t="n">
        <v>5234.18</v>
      </c>
      <c r="C230" t="n">
        <v>172.28</v>
      </c>
      <c r="D230" t="n">
        <v>0.003846110916179418</v>
      </c>
      <c r="E230" t="n">
        <v>-0.004654418456133513</v>
      </c>
    </row>
    <row r="231">
      <c r="A231" s="2" t="n">
        <v>45375</v>
      </c>
      <c r="B231" t="n">
        <v>5254.35</v>
      </c>
      <c r="C231" t="n">
        <v>171.48</v>
      </c>
      <c r="D231" t="n">
        <v>-0.00956341208204454</v>
      </c>
      <c r="E231" t="n">
        <v>-0.01114184985391922</v>
      </c>
    </row>
    <row r="232">
      <c r="A232" s="2" t="n">
        <v>45382</v>
      </c>
      <c r="B232" t="n">
        <v>5204.34</v>
      </c>
      <c r="C232" t="n">
        <v>169.58</v>
      </c>
      <c r="D232" t="n">
        <v>-0.01567265988781149</v>
      </c>
      <c r="E232" t="n">
        <v>0.04027933049853856</v>
      </c>
    </row>
    <row r="233">
      <c r="A233" s="2" t="n">
        <v>45389</v>
      </c>
      <c r="B233" t="n">
        <v>5123.41</v>
      </c>
      <c r="C233" t="n">
        <v>176.55</v>
      </c>
      <c r="D233" t="n">
        <v>-0.03095789231622316</v>
      </c>
      <c r="E233" t="n">
        <v>-0.06765864847381481</v>
      </c>
    </row>
    <row r="234">
      <c r="A234" s="2" t="n">
        <v>45396</v>
      </c>
      <c r="B234" t="n">
        <v>4967.23</v>
      </c>
      <c r="C234" t="n">
        <v>165</v>
      </c>
      <c r="D234" t="n">
        <v>0.02637035589205366</v>
      </c>
      <c r="E234" t="n">
        <v>0.02572681523850908</v>
      </c>
    </row>
    <row r="235">
      <c r="A235" s="2" t="n">
        <v>45403</v>
      </c>
      <c r="B235" t="n">
        <v>5099.96</v>
      </c>
      <c r="C235" t="n">
        <v>169.3</v>
      </c>
      <c r="D235" t="n">
        <v>0.005442070579494519</v>
      </c>
      <c r="E235" t="n">
        <v>0.07988821348266507</v>
      </c>
    </row>
    <row r="236">
      <c r="A236" s="2" t="n">
        <v>45410</v>
      </c>
      <c r="B236" t="n">
        <v>5127.79</v>
      </c>
      <c r="C236" t="n">
        <v>183.38</v>
      </c>
      <c r="D236" t="n">
        <v>0.01833591296466925</v>
      </c>
      <c r="E236" t="n">
        <v>-0.00180116305550943</v>
      </c>
    </row>
    <row r="237">
      <c r="A237" s="2" t="n">
        <v>45417</v>
      </c>
      <c r="B237" t="n">
        <v>5222.68</v>
      </c>
      <c r="C237" t="n">
        <v>183.05</v>
      </c>
      <c r="D237" t="n">
        <v>0.01531293132911324</v>
      </c>
      <c r="E237" t="n">
        <v>0.0365802878890784</v>
      </c>
    </row>
    <row r="238">
      <c r="A238" s="2" t="n">
        <v>45424</v>
      </c>
      <c r="B238" t="n">
        <v>5303.27</v>
      </c>
      <c r="C238" t="n">
        <v>189.87</v>
      </c>
      <c r="D238" t="n">
        <v>0.0002733788416148375</v>
      </c>
      <c r="E238" t="n">
        <v>0.0005791760067125792</v>
      </c>
    </row>
    <row r="239">
      <c r="A239" s="2" t="n">
        <v>45431</v>
      </c>
      <c r="B239" t="n">
        <v>5304.72</v>
      </c>
      <c r="C239" t="n">
        <v>189.98</v>
      </c>
      <c r="D239" t="n">
        <v>-0.005142594702045587</v>
      </c>
      <c r="E239" t="n">
        <v>0.01187780492371692</v>
      </c>
    </row>
    <row r="240">
      <c r="A240" s="2" t="n">
        <v>45438</v>
      </c>
      <c r="B240" t="n">
        <v>5277.51</v>
      </c>
      <c r="C240" t="n">
        <v>192.25</v>
      </c>
      <c r="D240" t="n">
        <v>0.01307939018213883</v>
      </c>
      <c r="E240" t="n">
        <v>0.0238485887679876</v>
      </c>
    </row>
    <row r="241">
      <c r="A241" s="2" t="n">
        <v>45445</v>
      </c>
      <c r="B241" t="n">
        <v>5346.99</v>
      </c>
      <c r="C241" t="n">
        <v>196.89</v>
      </c>
      <c r="D241" t="n">
        <v>0.01569996408525012</v>
      </c>
      <c r="E241" t="n">
        <v>0.07624973127989988</v>
      </c>
    </row>
    <row r="242">
      <c r="A242" s="2" t="n">
        <v>45452</v>
      </c>
      <c r="B242" t="n">
        <v>5431.6</v>
      </c>
      <c r="C242" t="n">
        <v>212.49</v>
      </c>
      <c r="D242" t="n">
        <v>0.006060835974113174</v>
      </c>
      <c r="E242" t="n">
        <v>-0.0238117826952812</v>
      </c>
    </row>
    <row r="243">
      <c r="A243" s="2" t="n">
        <v>45459</v>
      </c>
      <c r="B243" t="n">
        <v>5464.62</v>
      </c>
      <c r="C243" t="n">
        <v>207.49</v>
      </c>
      <c r="D243" t="n">
        <v>-0.0007578878359311989</v>
      </c>
      <c r="E243" t="n">
        <v>0.01497241621409132</v>
      </c>
    </row>
    <row r="244">
      <c r="A244" s="2" t="n">
        <v>45466</v>
      </c>
      <c r="B244" t="n">
        <v>5460.48</v>
      </c>
      <c r="C244" t="n">
        <v>210.62</v>
      </c>
      <c r="D244" t="n">
        <v>0.0193537403311141</v>
      </c>
      <c r="E244" t="n">
        <v>0.0719827315853445</v>
      </c>
    </row>
    <row r="245">
      <c r="A245" s="2" t="n">
        <v>45473</v>
      </c>
      <c r="B245" t="n">
        <v>5567.19</v>
      </c>
      <c r="C245" t="n">
        <v>226.34</v>
      </c>
      <c r="D245" t="n">
        <v>0.008613480972494184</v>
      </c>
      <c r="E245" t="n">
        <v>0.01838608963507094</v>
      </c>
    </row>
    <row r="246">
      <c r="A246" s="2" t="n">
        <v>45480</v>
      </c>
      <c r="B246" t="n">
        <v>5615.35</v>
      </c>
      <c r="C246" t="n">
        <v>230.54</v>
      </c>
      <c r="D246" t="n">
        <v>-0.01984714910964965</v>
      </c>
      <c r="E246" t="n">
        <v>-0.02739535949293256</v>
      </c>
    </row>
    <row r="247">
      <c r="A247" s="2" t="n">
        <v>45487</v>
      </c>
      <c r="B247" t="n">
        <v>5505</v>
      </c>
      <c r="C247" t="n">
        <v>224.31</v>
      </c>
      <c r="D247" t="n">
        <v>-0.008372829169473591</v>
      </c>
      <c r="E247" t="n">
        <v>-0.02871746396503629</v>
      </c>
    </row>
    <row r="248">
      <c r="A248" s="2" t="n">
        <v>45494</v>
      </c>
      <c r="B248" t="n">
        <v>5459.1</v>
      </c>
      <c r="C248" t="n">
        <v>217.96</v>
      </c>
      <c r="D248" t="n">
        <v>-0.02083057755860555</v>
      </c>
      <c r="E248" t="n">
        <v>0.008679420435820037</v>
      </c>
    </row>
    <row r="249">
      <c r="A249" s="2" t="n">
        <v>45501</v>
      </c>
      <c r="B249" t="n">
        <v>5346.56</v>
      </c>
      <c r="C249" t="n">
        <v>219.86</v>
      </c>
      <c r="D249" t="n">
        <v>-0.0004489875406555176</v>
      </c>
      <c r="E249" t="n">
        <v>-0.01660207818252551</v>
      </c>
    </row>
    <row r="250">
      <c r="A250" s="2" t="n">
        <v>45508</v>
      </c>
      <c r="B250" t="n">
        <v>5344.16</v>
      </c>
      <c r="C250" t="n">
        <v>216.24</v>
      </c>
      <c r="D250" t="n">
        <v>0.03855902456919127</v>
      </c>
      <c r="E250" t="n">
        <v>0.04436731177242196</v>
      </c>
    </row>
    <row r="251">
      <c r="A251" s="2" t="n">
        <v>45515</v>
      </c>
      <c r="B251" t="n">
        <v>5554.25</v>
      </c>
      <c r="C251" t="n">
        <v>226.05</v>
      </c>
      <c r="D251" t="n">
        <v>0.01436453432868394</v>
      </c>
      <c r="E251" t="n">
        <v>0.003488709405212978</v>
      </c>
    </row>
    <row r="252">
      <c r="A252" s="2" t="n">
        <v>45522</v>
      </c>
      <c r="B252" t="n">
        <v>5634.61</v>
      </c>
      <c r="C252" t="n">
        <v>226.84</v>
      </c>
      <c r="D252" t="n">
        <v>0.002444384409175766</v>
      </c>
      <c r="E252" t="n">
        <v>0.009477080408412275</v>
      </c>
    </row>
    <row r="253">
      <c r="A253" s="2" t="n">
        <v>45529</v>
      </c>
      <c r="B253" t="n">
        <v>5648.4</v>
      </c>
      <c r="C253" t="n">
        <v>229</v>
      </c>
      <c r="D253" t="n">
        <v>-0.04341532076599641</v>
      </c>
      <c r="E253" t="n">
        <v>-0.03637411354324874</v>
      </c>
    </row>
    <row r="254">
      <c r="A254" s="2" t="n">
        <v>45536</v>
      </c>
      <c r="B254" t="n">
        <v>5408.42</v>
      </c>
      <c r="C254" t="n">
        <v>220.82</v>
      </c>
      <c r="D254" t="n">
        <v>0.03944526653795214</v>
      </c>
      <c r="E254" t="n">
        <v>0.007579211595304088</v>
      </c>
    </row>
    <row r="255">
      <c r="A255" s="2" t="n">
        <v>45543</v>
      </c>
      <c r="B255" t="n">
        <v>5626.02</v>
      </c>
      <c r="C255" t="n">
        <v>222.5</v>
      </c>
      <c r="D255" t="n">
        <v>0.01351117823722467</v>
      </c>
      <c r="E255" t="n">
        <v>0.02529533582168028</v>
      </c>
    </row>
    <row r="256">
      <c r="A256" s="2" t="n">
        <v>45550</v>
      </c>
      <c r="B256" t="n">
        <v>5702.55</v>
      </c>
      <c r="C256" t="n">
        <v>228.2</v>
      </c>
      <c r="D256" t="n">
        <v>0.00622690094591228</v>
      </c>
      <c r="E256" t="n">
        <v>-0.001798285534723234</v>
      </c>
    </row>
    <row r="257">
      <c r="A257" s="2" t="n">
        <v>45557</v>
      </c>
      <c r="B257" t="n">
        <v>5738.17</v>
      </c>
      <c r="C257" t="n">
        <v>227.79</v>
      </c>
      <c r="D257" t="n">
        <v>0.002245580285698136</v>
      </c>
      <c r="E257" t="n">
        <v>-0.004355580039654991</v>
      </c>
    </row>
    <row r="258">
      <c r="A258" s="2" t="n">
        <v>45564</v>
      </c>
      <c r="B258" t="n">
        <v>5751.07</v>
      </c>
      <c r="C258" t="n">
        <v>226.8</v>
      </c>
      <c r="D258" t="n">
        <v>0.01106002057493614</v>
      </c>
      <c r="E258" t="n">
        <v>0.003301422609054003</v>
      </c>
    </row>
    <row r="259">
      <c r="A259" s="2" t="n">
        <v>45571</v>
      </c>
      <c r="B259" t="n">
        <v>5815.03</v>
      </c>
      <c r="C259" t="n">
        <v>227.55</v>
      </c>
      <c r="D259" t="n">
        <v>0.008500269509107226</v>
      </c>
      <c r="E259" t="n">
        <v>0.03221551968150791</v>
      </c>
    </row>
    <row r="260">
      <c r="A260" s="2" t="n">
        <v>45578</v>
      </c>
      <c r="B260" t="n">
        <v>5864.67</v>
      </c>
      <c r="C260" t="n">
        <v>235</v>
      </c>
      <c r="D260" t="n">
        <v>-0.009689276071713221</v>
      </c>
      <c r="E260" t="n">
        <v>-0.01539448510657861</v>
      </c>
    </row>
    <row r="261">
      <c r="A261" s="2" t="n">
        <v>45585</v>
      </c>
      <c r="B261" t="n">
        <v>5808.12</v>
      </c>
      <c r="C261" t="n">
        <v>231.41</v>
      </c>
      <c r="D261" t="n">
        <v>-0.01375085375548801</v>
      </c>
      <c r="E261" t="n">
        <v>-0.03742292648473936</v>
      </c>
    </row>
    <row r="262">
      <c r="A262" s="2" t="n">
        <v>45592</v>
      </c>
      <c r="B262" t="n">
        <v>5728.8</v>
      </c>
      <c r="C262" t="n">
        <v>222.91</v>
      </c>
      <c r="D262" t="n">
        <v>0.04550977477492174</v>
      </c>
      <c r="E262" t="n">
        <v>0.01800568794775506</v>
      </c>
    </row>
    <row r="263">
      <c r="A263" s="2" t="n">
        <v>45599</v>
      </c>
      <c r="B263" t="n">
        <v>5995.54</v>
      </c>
      <c r="C263" t="n">
        <v>226.96</v>
      </c>
      <c r="D263" t="n">
        <v>-0.02105560941730776</v>
      </c>
      <c r="E263" t="n">
        <v>-0.008673388296175855</v>
      </c>
    </row>
    <row r="264">
      <c r="A264" s="2" t="n">
        <v>45606</v>
      </c>
      <c r="B264" t="n">
        <v>5870.62</v>
      </c>
      <c r="C264" t="n">
        <v>225</v>
      </c>
      <c r="D264" t="n">
        <v>0.01667611846107745</v>
      </c>
      <c r="E264" t="n">
        <v>0.02141352953190543</v>
      </c>
    </row>
    <row r="265">
      <c r="A265" s="2" t="n">
        <v>45613</v>
      </c>
      <c r="B265" t="n">
        <v>5969.34</v>
      </c>
      <c r="C265" t="n">
        <v>229.87</v>
      </c>
      <c r="D265" t="n">
        <v>0.01050525753960101</v>
      </c>
      <c r="E265" t="n">
        <v>0.03193764596508905</v>
      </c>
    </row>
    <row r="266">
      <c r="A266" s="2" t="n">
        <v>45620</v>
      </c>
      <c r="B266" t="n">
        <v>6032.38</v>
      </c>
      <c r="C266" t="n">
        <v>237.33</v>
      </c>
      <c r="D266" t="n">
        <v>0.009550789645523784</v>
      </c>
      <c r="E266" t="n">
        <v>0.02295121256081857</v>
      </c>
    </row>
    <row r="267">
      <c r="A267" s="2" t="n">
        <v>45627</v>
      </c>
      <c r="B267" t="n">
        <v>6090.27</v>
      </c>
      <c r="C267" t="n">
        <v>242.84</v>
      </c>
      <c r="D267" t="n">
        <v>-0.006453994610219541</v>
      </c>
      <c r="E267" t="n">
        <v>0.02155001210969133</v>
      </c>
    </row>
    <row r="268">
      <c r="A268" s="2" t="n">
        <v>45634</v>
      </c>
      <c r="B268" t="n">
        <v>6051.09</v>
      </c>
      <c r="C268" t="n">
        <v>248.13</v>
      </c>
      <c r="D268" t="n">
        <v>-0.02007087941213312</v>
      </c>
      <c r="E268" t="n">
        <v>0.02530874011582836</v>
      </c>
    </row>
    <row r="269">
      <c r="A269" s="2" t="n">
        <v>45641</v>
      </c>
      <c r="B269" t="n">
        <v>5930.85</v>
      </c>
      <c r="C269" t="n">
        <v>254.49</v>
      </c>
      <c r="D269" t="n">
        <v>0.00672007933223057</v>
      </c>
      <c r="E269" t="n">
        <v>0.004313055619604551</v>
      </c>
    </row>
    <row r="270">
      <c r="A270" s="2" t="n">
        <v>45648</v>
      </c>
      <c r="B270" t="n">
        <v>5970.84</v>
      </c>
      <c r="C270" t="n">
        <v>255.59</v>
      </c>
      <c r="D270" t="n">
        <v>-0.004762749165129663</v>
      </c>
      <c r="E270" t="n">
        <v>-0.04903276959637479</v>
      </c>
    </row>
    <row r="271">
      <c r="A271" s="2" t="n">
        <v>45655</v>
      </c>
      <c r="B271" t="n">
        <v>5942.47</v>
      </c>
      <c r="C271" t="n">
        <v>243.36</v>
      </c>
      <c r="D271" t="n">
        <v>-0.01961571912593472</v>
      </c>
      <c r="E271" t="n">
        <v>-0.027114799141222</v>
      </c>
    </row>
    <row r="272">
      <c r="A272" s="2" t="n">
        <v>45662</v>
      </c>
      <c r="B272" t="n">
        <v>5827.04</v>
      </c>
      <c r="C272" t="n">
        <v>236.85</v>
      </c>
      <c r="D272" t="n">
        <v>0.02869349483175312</v>
      </c>
      <c r="E272" t="n">
        <v>-0.02943468074924207</v>
      </c>
    </row>
    <row r="273">
      <c r="A273" s="2" t="n">
        <v>45669</v>
      </c>
      <c r="B273" t="n">
        <v>5996.66</v>
      </c>
      <c r="C273" t="n">
        <v>229.98</v>
      </c>
      <c r="D273" t="n">
        <v>0.01728938164450116</v>
      </c>
      <c r="E273" t="n">
        <v>-0.0318076112034749</v>
      </c>
    </row>
    <row r="274">
      <c r="A274" s="2" t="n">
        <v>45676</v>
      </c>
      <c r="B274" t="n">
        <v>6101.24</v>
      </c>
      <c r="C274" t="n">
        <v>222.78</v>
      </c>
      <c r="D274" t="n">
        <v>-0.01000027276804339</v>
      </c>
      <c r="E274" t="n">
        <v>0.05764706760856635</v>
      </c>
    </row>
    <row r="275">
      <c r="A275" s="2" t="n">
        <v>45683</v>
      </c>
      <c r="B275" t="n">
        <v>6040.53</v>
      </c>
      <c r="C275" t="n">
        <v>236</v>
      </c>
      <c r="D275" t="n">
        <v>-0.002409975210306763</v>
      </c>
      <c r="E275" t="n">
        <v>-0.03611030126631286</v>
      </c>
    </row>
    <row r="276">
      <c r="A276" s="2" t="n">
        <v>45690</v>
      </c>
      <c r="B276" t="n">
        <v>6025.99</v>
      </c>
      <c r="C276" t="n">
        <v>227.63</v>
      </c>
      <c r="D276" t="n">
        <v>0.01460247912726698</v>
      </c>
      <c r="E276" t="n">
        <v>0.07190271949377479</v>
      </c>
    </row>
    <row r="277">
      <c r="A277" s="2" t="n">
        <v>45697</v>
      </c>
      <c r="B277" t="n">
        <v>6114.63</v>
      </c>
      <c r="C277" t="n">
        <v>244.6</v>
      </c>
      <c r="D277" t="n">
        <v>-0.0167388487109518</v>
      </c>
      <c r="E277" t="n">
        <v>0.003876369232181725</v>
      </c>
    </row>
    <row r="278">
      <c r="A278" s="2" t="n">
        <v>45704</v>
      </c>
      <c r="B278" t="n">
        <v>6013.13</v>
      </c>
      <c r="C278" t="n">
        <v>245.55</v>
      </c>
      <c r="D278" t="n">
        <v>-0.009798175421528476</v>
      </c>
      <c r="E278" t="n">
        <v>-0.01522424201405104</v>
      </c>
    </row>
    <row r="279">
      <c r="A279" s="2" t="n">
        <v>45711</v>
      </c>
      <c r="B279" t="n">
        <v>5954.5</v>
      </c>
      <c r="C279" t="n">
        <v>241.84</v>
      </c>
      <c r="D279" t="n">
        <v>-0.0314404942615594</v>
      </c>
      <c r="E279" t="n">
        <v>-0.01151995439343617</v>
      </c>
    </row>
    <row r="280">
      <c r="A280" s="2" t="n">
        <v>45718</v>
      </c>
      <c r="B280" t="n">
        <v>5770.2</v>
      </c>
      <c r="C280" t="n">
        <v>239.07</v>
      </c>
      <c r="D280" t="n">
        <v>-0.02301063738034607</v>
      </c>
      <c r="E280" t="n">
        <v>-0.1131664029135338</v>
      </c>
    </row>
    <row r="281">
      <c r="A281" s="2" t="n">
        <v>45725</v>
      </c>
      <c r="B281" t="n">
        <v>5638.94</v>
      </c>
      <c r="C281" t="n">
        <v>213.49</v>
      </c>
      <c r="D281" t="n">
        <v>0.005062585437930187</v>
      </c>
      <c r="E281" t="n">
        <v>0.02214283538675353</v>
      </c>
    </row>
    <row r="282">
      <c r="A282" s="2" t="n">
        <v>45732</v>
      </c>
      <c r="B282" t="n">
        <v>5667.56</v>
      </c>
      <c r="C282" t="n">
        <v>218.27</v>
      </c>
      <c r="D282" t="n">
        <v>-0.01540146903494393</v>
      </c>
      <c r="E282" t="n">
        <v>-0.001696586600412</v>
      </c>
    </row>
    <row r="283">
      <c r="A283" s="2" t="n">
        <v>45739</v>
      </c>
      <c r="B283" t="n">
        <v>5580.94</v>
      </c>
      <c r="C283" t="n">
        <v>217.9</v>
      </c>
      <c r="D283" t="n">
        <v>-0.09521199328066883</v>
      </c>
      <c r="E283" t="n">
        <v>-0.1455750425559032</v>
      </c>
    </row>
    <row r="284">
      <c r="A284" s="2" t="n">
        <v>45746</v>
      </c>
      <c r="B284" t="n">
        <v>5074.08</v>
      </c>
      <c r="C284" t="n">
        <v>188.38</v>
      </c>
      <c r="D284" t="n">
        <v>0.05544541664981416</v>
      </c>
      <c r="E284" t="n">
        <v>0.05056312024177304</v>
      </c>
    </row>
    <row r="285">
      <c r="A285" s="2" t="n">
        <v>45753</v>
      </c>
      <c r="B285" t="n">
        <v>5363.36</v>
      </c>
      <c r="C285" t="n">
        <v>198.15</v>
      </c>
      <c r="D285" t="n">
        <v>-0.01515331370343486</v>
      </c>
      <c r="E285" t="n">
        <v>-0.005922118894887773</v>
      </c>
    </row>
    <row r="286">
      <c r="A286" s="2" t="n">
        <v>45760</v>
      </c>
      <c r="B286" t="n">
        <v>5282.7</v>
      </c>
      <c r="C286" t="n">
        <v>196.98</v>
      </c>
      <c r="D286" t="n">
        <v>0.04488392507855975</v>
      </c>
      <c r="E286" t="n">
        <v>0.06057086752727773</v>
      </c>
    </row>
    <row r="287">
      <c r="A287" s="2" t="n">
        <v>45767</v>
      </c>
      <c r="B287" t="n">
        <v>5525.21</v>
      </c>
      <c r="C287" t="n">
        <v>209.28</v>
      </c>
      <c r="D287" t="n">
        <v>0.0288035838304582</v>
      </c>
      <c r="E287" t="n">
        <v>-0.01895722786626637</v>
      </c>
    </row>
    <row r="288">
      <c r="A288" s="2" t="n">
        <v>45774</v>
      </c>
      <c r="B288" t="n">
        <v>5686.67</v>
      </c>
      <c r="C288" t="n">
        <v>205.35</v>
      </c>
      <c r="D288" t="n">
        <v>-0.004716848533125205</v>
      </c>
      <c r="E288" t="n">
        <v>-0.03377561819358007</v>
      </c>
    </row>
    <row r="289">
      <c r="A289" s="2" t="n">
        <v>45781</v>
      </c>
      <c r="B289" t="n">
        <v>5659.91</v>
      </c>
      <c r="C289" t="n">
        <v>198.53</v>
      </c>
      <c r="D289" t="n">
        <v>0.05139064102052499</v>
      </c>
      <c r="E289" t="n">
        <v>0.06214938018602857</v>
      </c>
    </row>
    <row r="290">
      <c r="A290" s="2" t="n">
        <v>45788</v>
      </c>
      <c r="B290" t="n">
        <v>5958.38</v>
      </c>
      <c r="C290" t="n">
        <v>211.26</v>
      </c>
      <c r="D290" t="n">
        <v>-0.02645462576047172</v>
      </c>
      <c r="E290" t="n">
        <v>-0.07870638614261041</v>
      </c>
    </row>
    <row r="291">
      <c r="A291" s="2" t="n">
        <v>45795</v>
      </c>
      <c r="B291" t="n">
        <v>5802.82</v>
      </c>
      <c r="C291" t="n">
        <v>195.27</v>
      </c>
      <c r="D291" t="n">
        <v>0.0185877402584977</v>
      </c>
      <c r="E291" t="n">
        <v>0.02817514455288546</v>
      </c>
    </row>
    <row r="292">
      <c r="A292" s="2" t="n">
        <v>45802</v>
      </c>
      <c r="B292" t="n">
        <v>5911.69</v>
      </c>
      <c r="C292" t="n">
        <v>200.85</v>
      </c>
      <c r="D292" t="n">
        <v>0.01488772088097834</v>
      </c>
      <c r="E292" t="n">
        <v>0.01516939926256883</v>
      </c>
    </row>
    <row r="293">
      <c r="A293" s="2" t="n">
        <v>45809</v>
      </c>
      <c r="B293" t="n">
        <v>6000.36</v>
      </c>
      <c r="C293" t="n">
        <v>203.92</v>
      </c>
      <c r="D293" t="n">
        <v>-0.003905716839027833</v>
      </c>
      <c r="E293" t="n">
        <v>-0.03731981406339129</v>
      </c>
    </row>
    <row r="294">
      <c r="A294" s="2" t="n">
        <v>45816</v>
      </c>
      <c r="B294" t="n">
        <v>5976.97</v>
      </c>
      <c r="C294" t="n">
        <v>196.45</v>
      </c>
      <c r="D294" t="n">
        <v>-0.001528697698499086</v>
      </c>
      <c r="E294" t="n">
        <v>0.02289696205460707</v>
      </c>
    </row>
    <row r="295">
      <c r="A295" s="2" t="n">
        <v>45823</v>
      </c>
      <c r="B295" t="n">
        <v>5967.84</v>
      </c>
      <c r="C295" t="n">
        <v>201</v>
      </c>
      <c r="D295" t="n">
        <v>0.03381123016203236</v>
      </c>
      <c r="E295" t="n">
        <v>0.0003979307652987323</v>
      </c>
    </row>
    <row r="296">
      <c r="A296" s="2" t="n">
        <v>45830</v>
      </c>
      <c r="B296" t="n">
        <v>6173.07</v>
      </c>
      <c r="C296" t="n">
        <v>201.08</v>
      </c>
      <c r="D296" t="n">
        <v>0.0170701888859373</v>
      </c>
      <c r="E296" t="n">
        <v>0.0601681584631011</v>
      </c>
    </row>
    <row r="297">
      <c r="A297" s="2" t="n">
        <v>45837</v>
      </c>
      <c r="B297" t="n">
        <v>6279.35</v>
      </c>
      <c r="C297" t="n">
        <v>213.55</v>
      </c>
      <c r="D297" t="n">
        <v>-0.003126223726266354</v>
      </c>
      <c r="E297" t="n">
        <v>-0.01125485733206005</v>
      </c>
    </row>
    <row r="298">
      <c r="A298" s="2" t="n">
        <v>45844</v>
      </c>
      <c r="B298" t="n">
        <v>6259.75</v>
      </c>
      <c r="C298" t="n">
        <v>211.16</v>
      </c>
      <c r="D298" t="n">
        <v>0.005899731524293387</v>
      </c>
      <c r="E298" t="n">
        <v>9.471042295280977e-05</v>
      </c>
    </row>
    <row r="299">
      <c r="A299" s="2" t="n">
        <v>45851</v>
      </c>
      <c r="B299" t="n">
        <v>6296.79</v>
      </c>
      <c r="C299" t="n">
        <v>211.18</v>
      </c>
      <c r="D299" t="n">
        <v>0.01448143344992452</v>
      </c>
      <c r="E299" t="n">
        <v>0.01270425970216251</v>
      </c>
    </row>
    <row r="300">
      <c r="A300" s="2" t="n">
        <v>45858</v>
      </c>
      <c r="B300" t="n">
        <v>6388.64</v>
      </c>
      <c r="C300" t="n">
        <v>213.88</v>
      </c>
      <c r="D300" t="n">
        <v>-0.02386019192428506</v>
      </c>
      <c r="E300" t="n">
        <v>-0.05526799177891691</v>
      </c>
    </row>
    <row r="301">
      <c r="A301" s="2" t="n">
        <v>45865</v>
      </c>
      <c r="B301" t="n">
        <v>6238.01</v>
      </c>
      <c r="C301" t="n">
        <v>202.38</v>
      </c>
      <c r="D301" t="n">
        <v>0.02398697143532075</v>
      </c>
      <c r="E301" t="n">
        <v>0.1251021027415671</v>
      </c>
    </row>
    <row r="302">
      <c r="A302" s="2" t="n">
        <v>45872</v>
      </c>
      <c r="B302" t="n">
        <v>6389.45</v>
      </c>
      <c r="C302" t="n">
        <v>229.35</v>
      </c>
      <c r="D302" t="n">
        <v>0.009400929877436081</v>
      </c>
      <c r="E302" t="n">
        <v>0.009719345830548298</v>
      </c>
    </row>
    <row r="303">
      <c r="A303" s="2" t="n">
        <v>45879</v>
      </c>
      <c r="B303" t="n">
        <v>6449.8</v>
      </c>
      <c r="C303" t="n">
        <v>231.59</v>
      </c>
      <c r="D303" t="n">
        <v>0.002649282984211211</v>
      </c>
      <c r="E303" t="n">
        <v>-0.0166761239039472</v>
      </c>
    </row>
    <row r="304">
      <c r="A304" s="2" t="n">
        <v>45886</v>
      </c>
      <c r="B304" t="n">
        <v>6466.91</v>
      </c>
      <c r="C304" t="n">
        <v>227.76</v>
      </c>
      <c r="D304" t="n">
        <v>-0.001028840896591091</v>
      </c>
      <c r="E304" t="n">
        <v>0.01904819497069441</v>
      </c>
    </row>
    <row r="305">
      <c r="A305" s="2" t="n">
        <v>45893</v>
      </c>
      <c r="B305" t="n">
        <v>6460.26</v>
      </c>
      <c r="C305" t="n">
        <v>232.14</v>
      </c>
      <c r="D305" t="n">
        <v>0.003282400395347566</v>
      </c>
      <c r="E305" t="n">
        <v>0.03200578381442253</v>
      </c>
    </row>
    <row r="306">
      <c r="A306" s="2" t="n">
        <v>45900</v>
      </c>
      <c r="B306" t="n">
        <v>6481.5</v>
      </c>
      <c r="C306" t="n">
        <v>239.69</v>
      </c>
      <c r="D306" t="n">
        <v>0.01573454351934343</v>
      </c>
      <c r="E306" t="n">
        <v>-0.0237262058330861</v>
      </c>
    </row>
    <row r="307">
      <c r="A307" s="2" t="n">
        <v>45907</v>
      </c>
      <c r="B307" t="n">
        <v>6584.29</v>
      </c>
      <c r="C307" t="n">
        <v>234.07</v>
      </c>
      <c r="D307" t="n">
        <v>0.01208741643676649</v>
      </c>
      <c r="E307" t="n">
        <v>0.04767673131276236</v>
      </c>
    </row>
    <row r="308">
      <c r="A308" s="2" t="n">
        <v>45914</v>
      </c>
      <c r="B308" t="n">
        <v>6664.36</v>
      </c>
      <c r="C308" t="n">
        <v>245.5</v>
      </c>
      <c r="D308" t="n">
        <v>-0.00310488780444765</v>
      </c>
      <c r="E308" t="n">
        <v>0.03976889438005556</v>
      </c>
    </row>
    <row r="309">
      <c r="A309" s="2" t="n">
        <v>45921</v>
      </c>
      <c r="B309" t="n">
        <v>6643.7</v>
      </c>
      <c r="C309" t="n">
        <v>255.46</v>
      </c>
      <c r="D309" t="n">
        <v>0.01079243290452919</v>
      </c>
      <c r="E309" t="n">
        <v>0.009971259682359611</v>
      </c>
    </row>
    <row r="310">
      <c r="A310" s="2" t="n">
        <v>45928</v>
      </c>
      <c r="B310" t="n">
        <v>6715.79</v>
      </c>
      <c r="C310" t="n">
        <v>258.02</v>
      </c>
      <c r="D310" t="n">
        <v>-0.02461328776482907</v>
      </c>
      <c r="E310" t="n">
        <v>-0.05067745673714508</v>
      </c>
    </row>
    <row r="311">
      <c r="A311" s="2" t="n">
        <v>45935</v>
      </c>
      <c r="B311" t="n">
        <v>6552.51</v>
      </c>
      <c r="C311" t="n">
        <v>245.27</v>
      </c>
      <c r="D311" t="n">
        <v>0.016873223114333</v>
      </c>
      <c r="E311" t="n">
        <v>0.02821957494692876</v>
      </c>
    </row>
    <row r="312">
      <c r="A312" s="2" t="n">
        <v>45942</v>
      </c>
      <c r="B312" t="n">
        <v>6664.01</v>
      </c>
      <c r="C312" t="n">
        <v>252.29</v>
      </c>
      <c r="D312" t="n">
        <v>0.01897840057208134</v>
      </c>
      <c r="E312" t="n">
        <v>0.04089016770871769</v>
      </c>
    </row>
    <row r="313">
      <c r="A313" s="2" t="n">
        <v>45949</v>
      </c>
      <c r="B313" t="n">
        <v>6791.69</v>
      </c>
      <c r="C313" t="n">
        <v>262.82</v>
      </c>
      <c r="D313" t="n">
        <v>0.007117164937330114</v>
      </c>
      <c r="E313" t="n">
        <v>0.02832200405270948</v>
      </c>
    </row>
    <row r="314">
      <c r="A314" s="2" t="n">
        <v>45956</v>
      </c>
      <c r="B314" t="n">
        <v>6840.2</v>
      </c>
      <c r="C314" t="n">
        <v>270.37</v>
      </c>
      <c r="D314" t="n">
        <v>-0.0100589008237478</v>
      </c>
      <c r="E314" t="n">
        <v>-0.001221295094531675</v>
      </c>
    </row>
    <row r="315">
      <c r="A315" s="2" t="n">
        <v>45963</v>
      </c>
      <c r="B315" t="n">
        <v>6771.74</v>
      </c>
      <c r="C315" t="n">
        <v>270.04</v>
      </c>
      <c r="D315">
        <f>LN(B315/B314)</f>
        <v/>
      </c>
      <c r="E315">
        <f>LN(C315/C314)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3" t="inlineStr">
        <is>
          <t>QUESTION 2 - STATISTICAL ANALYSIS</t>
        </is>
      </c>
    </row>
    <row r="3">
      <c r="A3" s="4" t="inlineStr">
        <is>
          <t>(a) MEAN WEEKLY LOG RETURN</t>
        </is>
      </c>
    </row>
    <row r="4">
      <c r="A4" s="5" t="inlineStr">
        <is>
          <t>Metric</t>
        </is>
      </c>
      <c r="B4" s="5" t="inlineStr">
        <is>
          <t>S&amp;P 500</t>
        </is>
      </c>
      <c r="C4" s="5" t="inlineStr">
        <is>
          <t>AAPL</t>
        </is>
      </c>
    </row>
    <row r="5">
      <c r="A5" t="inlineStr">
        <is>
          <t>Mean (Excel AVERAGE)</t>
        </is>
      </c>
      <c r="B5" s="6">
        <f>AVERAGE('Data &amp; Returns'!D2:D315)</f>
        <v/>
      </c>
      <c r="C5" s="6">
        <f>AVERAGE('Data &amp; Returns'!E2:E315)</f>
        <v/>
      </c>
    </row>
    <row r="7">
      <c r="A7" s="4" t="inlineStr">
        <is>
          <t>(b) VARIANCE CALCULATION</t>
        </is>
      </c>
    </row>
    <row r="8">
      <c r="A8" s="5" t="inlineStr">
        <is>
          <t>Calculation Method</t>
        </is>
      </c>
      <c r="B8" s="5" t="inlineStr">
        <is>
          <t>S&amp;P 500</t>
        </is>
      </c>
      <c r="C8" s="5" t="inlineStr">
        <is>
          <t>AAPL</t>
        </is>
      </c>
    </row>
    <row r="9">
      <c r="A9" t="inlineStr">
        <is>
          <t>Manual: Σ(x - mean)²/N</t>
        </is>
      </c>
      <c r="B9" s="6">
        <f>SUMPRODUCT(('Data &amp; Returns'!D2:D315-B5)^2)/COUNTA('Data &amp; Returns'!D2:D315)</f>
        <v/>
      </c>
      <c r="C9" s="6">
        <f>SUMPRODUCT(('Data &amp; Returns'!E2:E315-C5)^2)/COUNTA('Data &amp; Returns'!E2:E315)</f>
        <v/>
      </c>
    </row>
    <row r="10">
      <c r="A10" t="inlineStr">
        <is>
          <t>Excel VAR.P function</t>
        </is>
      </c>
      <c r="B10" s="6">
        <f>VAR.P('Data &amp; Returns'!D2:D315)</f>
        <v/>
      </c>
      <c r="C10" s="6">
        <f>VAR.P('Data &amp; Returns'!E2:E315)</f>
        <v/>
      </c>
    </row>
    <row r="11">
      <c r="A11" t="inlineStr">
        <is>
          <t>Difference</t>
        </is>
      </c>
      <c r="B11">
        <f>B9-B10</f>
        <v/>
      </c>
      <c r="C11">
        <f>C9-C10</f>
        <v/>
      </c>
    </row>
    <row r="13">
      <c r="A13" s="4" t="inlineStr">
        <is>
          <t>(c) STANDARD DEVIATION CALCULATION</t>
        </is>
      </c>
    </row>
    <row r="14">
      <c r="A14" s="5" t="inlineStr">
        <is>
          <t>Calculation Method</t>
        </is>
      </c>
      <c r="B14" s="5" t="inlineStr">
        <is>
          <t>S&amp;P 500</t>
        </is>
      </c>
      <c r="C14" s="5" t="inlineStr">
        <is>
          <t>AAPL</t>
        </is>
      </c>
    </row>
    <row r="15">
      <c r="A15" t="inlineStr">
        <is>
          <t>Manual: SQRT(Variance)</t>
        </is>
      </c>
      <c r="B15" s="6">
        <f>SQRT(B9)</f>
        <v/>
      </c>
      <c r="C15" s="6">
        <f>SQRT(C9)</f>
        <v/>
      </c>
    </row>
    <row r="16">
      <c r="A16" t="inlineStr">
        <is>
          <t>Excel STDEV.P function</t>
        </is>
      </c>
      <c r="B16" s="6">
        <f>STDEV.P('Data &amp; Returns'!D2:D315)</f>
        <v/>
      </c>
      <c r="C16" s="6">
        <f>STDEV.P('Data &amp; Returns'!E2:E315)</f>
        <v/>
      </c>
    </row>
    <row r="17">
      <c r="A17" t="inlineStr">
        <is>
          <t>Difference</t>
        </is>
      </c>
      <c r="B17">
        <f>B15-B16</f>
        <v/>
      </c>
      <c r="C17">
        <f>C15-C16</f>
        <v/>
      </c>
    </row>
    <row r="19">
      <c r="A19" s="4" t="inlineStr">
        <is>
          <t>(e) SKEWNESS AND KURTOSIS</t>
        </is>
      </c>
    </row>
    <row r="20">
      <c r="A20" s="5" t="inlineStr">
        <is>
          <t>Metric</t>
        </is>
      </c>
      <c r="B20" s="5" t="inlineStr">
        <is>
          <t>S&amp;P 500</t>
        </is>
      </c>
      <c r="C20" s="5" t="inlineStr">
        <is>
          <t>AAPL</t>
        </is>
      </c>
    </row>
    <row r="21">
      <c r="A21" t="inlineStr">
        <is>
          <t>Skewness</t>
        </is>
      </c>
      <c r="B21" s="6">
        <f>SKEW('Data &amp; Returns'!D2:D315)</f>
        <v/>
      </c>
      <c r="C21" s="6">
        <f>SKEW('Data &amp; Returns'!E2:E315)</f>
        <v/>
      </c>
    </row>
    <row r="22">
      <c r="A22" t="inlineStr">
        <is>
          <t>Kurtosis</t>
        </is>
      </c>
      <c r="B22" s="6">
        <f>KURT('Data &amp; Returns'!D2:D315)</f>
        <v/>
      </c>
      <c r="C22" s="6">
        <f>KURT('Data &amp; Returns'!E2:E315)</f>
        <v/>
      </c>
    </row>
    <row r="24">
      <c r="A24" s="4" t="inlineStr">
        <is>
          <t>(f) WEEKS MOVING TOGETHER/APART</t>
        </is>
      </c>
    </row>
    <row r="25">
      <c r="A25" s="5" t="inlineStr">
        <is>
          <t>Metric</t>
        </is>
      </c>
      <c r="B25" s="5" t="inlineStr">
        <is>
          <t>Count</t>
        </is>
      </c>
      <c r="C25" s="5" t="inlineStr">
        <is>
          <t>Proportion</t>
        </is>
      </c>
    </row>
    <row r="26">
      <c r="A26" t="inlineStr">
        <is>
          <t>Weeks moving together (same sign)</t>
        </is>
      </c>
      <c r="B26" s="6">
        <f>SUMPRODUCT(('Data &amp; Returns'!D2:D315&gt;0)*('Data &amp; Returns'!E2:E315&gt;0))+SUMPRODUCT(('Data &amp; Returns'!D2:D315&lt;0)*('Data &amp; Returns'!E2:E315&lt;0))</f>
        <v/>
      </c>
      <c r="C26" s="6">
        <f>B26/(B26+B27)</f>
        <v/>
      </c>
    </row>
    <row r="27">
      <c r="A27" t="inlineStr">
        <is>
          <t>Weeks moving apart (different sign)</t>
        </is>
      </c>
      <c r="B27" s="6">
        <f>SUMPRODUCT(('Data &amp; Returns'!D2:D315&gt;0)*('Data &amp; Returns'!E2:E315&lt;0))+SUMPRODUCT(('Data &amp; Returns'!D2:D315&lt;0)*('Data &amp; Returns'!E2:E315&gt;0))</f>
        <v/>
      </c>
      <c r="C27" s="6">
        <f>B27/(B26+B27)</f>
        <v/>
      </c>
    </row>
    <row r="29">
      <c r="A29" s="4" t="inlineStr">
        <is>
          <t>(g) COVARIANCE CALCULATION</t>
        </is>
      </c>
    </row>
    <row r="30">
      <c r="A30" s="5" t="inlineStr">
        <is>
          <t>Calculation Method</t>
        </is>
      </c>
      <c r="B30" s="5" t="inlineStr">
        <is>
          <t>Value</t>
        </is>
      </c>
    </row>
    <row r="31">
      <c r="A31" t="inlineStr">
        <is>
          <t>Manual: Σ(x-mean_x)(y-mean_y)/N</t>
        </is>
      </c>
      <c r="B31" s="6">
        <f>SUMPRODUCT(('Data &amp; Returns'!D2:D315-B5)*('Data &amp; Returns'!E2:E315-C5))/COUNTA('Data &amp; Returns'!D2:D315)</f>
        <v/>
      </c>
    </row>
    <row r="32">
      <c r="A32" t="inlineStr">
        <is>
          <t>Excel COVARIANCE.P function</t>
        </is>
      </c>
      <c r="B32" s="6">
        <f>COVARIANCE.P('Data &amp; Returns'!D2:D315,'Data &amp; Returns'!E2:E315)</f>
        <v/>
      </c>
    </row>
    <row r="33">
      <c r="A33" t="inlineStr">
        <is>
          <t>Difference</t>
        </is>
      </c>
      <c r="B33">
        <f>B31-B32</f>
        <v/>
      </c>
    </row>
    <row r="35">
      <c r="A35" s="4" t="inlineStr">
        <is>
          <t>(h) CORRELATION CALCULATION</t>
        </is>
      </c>
    </row>
    <row r="36">
      <c r="A36" s="5" t="inlineStr">
        <is>
          <t>Calculation Method</t>
        </is>
      </c>
      <c r="B36" s="5" t="inlineStr">
        <is>
          <t>Value</t>
        </is>
      </c>
    </row>
    <row r="37">
      <c r="A37" t="inlineStr">
        <is>
          <t>Manual: Cov(x,y)/(StdDev_x * StdDev_y)</t>
        </is>
      </c>
      <c r="B37" s="6">
        <f>B32/(B16*C16)</f>
        <v/>
      </c>
    </row>
    <row r="38">
      <c r="A38" t="inlineStr">
        <is>
          <t>Excel CORREL function</t>
        </is>
      </c>
      <c r="B38" s="6">
        <f>CORREL('Data &amp; Returns'!D2:D315,'Data &amp; Returns'!E2:E315)</f>
        <v/>
      </c>
    </row>
    <row r="39">
      <c r="A39" t="inlineStr">
        <is>
          <t>Difference</t>
        </is>
      </c>
      <c r="B39">
        <f>B37-B38</f>
        <v/>
      </c>
    </row>
    <row r="41">
      <c r="A41" s="4" t="inlineStr">
        <is>
          <t>(j) REGRESSION STATISTICS (AAPL vs S&amp;P 500)</t>
        </is>
      </c>
    </row>
    <row r="42">
      <c r="A42" s="5" t="inlineStr">
        <is>
          <t>Statistic</t>
        </is>
      </c>
      <c r="B42" s="5" t="inlineStr">
        <is>
          <t>Value</t>
        </is>
      </c>
    </row>
    <row r="43">
      <c r="A43" t="inlineStr">
        <is>
          <t>Slope (Beta)</t>
        </is>
      </c>
      <c r="B43" s="6">
        <f>SLOPE('Data &amp; Returns'!E2:E315,'Data &amp; Returns'!D2:D315)</f>
        <v/>
      </c>
    </row>
    <row r="44">
      <c r="A44" t="inlineStr">
        <is>
          <t>Intercept (Alpha)</t>
        </is>
      </c>
      <c r="B44" s="6">
        <f>INTERCEPT('Data &amp; Returns'!E2:E315,'Data &amp; Returns'!D2:D315)</f>
        <v/>
      </c>
    </row>
    <row r="45">
      <c r="A45" t="inlineStr">
        <is>
          <t>R-Square</t>
        </is>
      </c>
      <c r="B45" s="6">
        <f>RSQ('Data &amp; Returns'!E2:E315,'Data &amp; Returns'!D2:D315)</f>
        <v/>
      </c>
    </row>
  </sheetData>
  <mergeCells count="9">
    <mergeCell ref="A29:E29"/>
    <mergeCell ref="A35:E35"/>
    <mergeCell ref="A24:E24"/>
    <mergeCell ref="A7:E7"/>
    <mergeCell ref="A41:E41"/>
    <mergeCell ref="A19:E19"/>
    <mergeCell ref="A1:E1"/>
    <mergeCell ref="A13:E13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</cols>
  <sheetData>
    <row r="1">
      <c r="A1" s="3" t="inlineStr">
        <is>
          <t>(d) HISTOGRAMS USING FREQUENCY FUNCTION</t>
        </is>
      </c>
    </row>
    <row r="3">
      <c r="A3" s="4" t="inlineStr">
        <is>
          <t>S&amp;P 500 RETURNS HISTOGRAM</t>
        </is>
      </c>
    </row>
    <row r="4">
      <c r="A4" s="5" t="inlineStr">
        <is>
          <t>Bin Upper Limit</t>
        </is>
      </c>
      <c r="B4" s="5" t="inlineStr">
        <is>
          <t>Frequency</t>
        </is>
      </c>
      <c r="C4" s="5" t="inlineStr">
        <is>
          <t>Bin Label</t>
        </is>
      </c>
    </row>
    <row r="5">
      <c r="A5" t="n">
        <v>-0.15</v>
      </c>
      <c r="B5" t="n">
        <v>1</v>
      </c>
      <c r="C5" t="inlineStr">
        <is>
          <t>&lt;-0.150</t>
        </is>
      </c>
    </row>
    <row r="6">
      <c r="A6" t="n">
        <v>-0.14</v>
      </c>
      <c r="B6" t="n">
        <v>0</v>
      </c>
      <c r="C6" t="inlineStr">
        <is>
          <t>-0.150 to -0.140</t>
        </is>
      </c>
    </row>
    <row r="7">
      <c r="A7" t="n">
        <v>-0.13</v>
      </c>
      <c r="B7" t="n">
        <v>0</v>
      </c>
      <c r="C7" t="inlineStr">
        <is>
          <t>-0.140 to -0.130</t>
        </is>
      </c>
    </row>
    <row r="8">
      <c r="A8" t="n">
        <v>-0.12</v>
      </c>
      <c r="B8" t="n">
        <v>1</v>
      </c>
      <c r="C8" t="inlineStr">
        <is>
          <t>-0.130 to -0.120</t>
        </is>
      </c>
    </row>
    <row r="9">
      <c r="A9" t="n">
        <v>-0.11</v>
      </c>
      <c r="B9" t="n">
        <v>0</v>
      </c>
      <c r="C9" t="inlineStr">
        <is>
          <t>-0.120 to -0.110</t>
        </is>
      </c>
    </row>
    <row r="10">
      <c r="A10" t="n">
        <v>-0.1</v>
      </c>
      <c r="B10" t="n">
        <v>0</v>
      </c>
      <c r="C10" t="inlineStr">
        <is>
          <t>-0.110 to -0.100</t>
        </is>
      </c>
    </row>
    <row r="11">
      <c r="A11" t="n">
        <v>-0.09</v>
      </c>
      <c r="B11" t="n">
        <v>2</v>
      </c>
      <c r="C11" t="inlineStr">
        <is>
          <t>-0.100 to -0.090</t>
        </is>
      </c>
    </row>
    <row r="12">
      <c r="A12" t="n">
        <v>-0.08</v>
      </c>
      <c r="B12" t="n">
        <v>0</v>
      </c>
      <c r="C12" t="inlineStr">
        <is>
          <t>-0.090 to -0.080</t>
        </is>
      </c>
    </row>
    <row r="13">
      <c r="A13" t="n">
        <v>-0.07000000000000001</v>
      </c>
      <c r="B13" t="n">
        <v>0</v>
      </c>
      <c r="C13" t="inlineStr">
        <is>
          <t>-0.080 to -0.070</t>
        </is>
      </c>
    </row>
    <row r="14">
      <c r="A14" t="n">
        <v>-0.06</v>
      </c>
      <c r="B14" t="n">
        <v>0</v>
      </c>
      <c r="C14" t="inlineStr">
        <is>
          <t>-0.070 to -0.060</t>
        </is>
      </c>
    </row>
    <row r="15">
      <c r="A15" t="n">
        <v>-0.05</v>
      </c>
      <c r="B15" t="n">
        <v>4</v>
      </c>
      <c r="C15" t="inlineStr">
        <is>
          <t>-0.060 to -0.050</t>
        </is>
      </c>
    </row>
    <row r="16">
      <c r="A16" t="n">
        <v>-0.04</v>
      </c>
      <c r="B16" t="n">
        <v>6</v>
      </c>
      <c r="C16" t="inlineStr">
        <is>
          <t>-0.050 to -0.040</t>
        </is>
      </c>
    </row>
    <row r="17">
      <c r="A17" t="n">
        <v>-0.03</v>
      </c>
      <c r="B17" t="n">
        <v>8</v>
      </c>
      <c r="C17" t="inlineStr">
        <is>
          <t>-0.040 to -0.030</t>
        </is>
      </c>
    </row>
    <row r="18">
      <c r="A18" t="n">
        <v>-0.02</v>
      </c>
      <c r="B18" t="n">
        <v>29</v>
      </c>
      <c r="C18" t="inlineStr">
        <is>
          <t>-0.030 to -0.020</t>
        </is>
      </c>
    </row>
    <row r="19">
      <c r="A19" t="n">
        <v>-0.01</v>
      </c>
      <c r="B19" t="n">
        <v>31</v>
      </c>
      <c r="C19" t="inlineStr">
        <is>
          <t>-0.020 to -0.010</t>
        </is>
      </c>
    </row>
    <row r="20">
      <c r="A20" t="n">
        <v>0</v>
      </c>
      <c r="B20" t="n">
        <v>53</v>
      </c>
      <c r="C20" t="inlineStr">
        <is>
          <t>-0.010 to 0.000</t>
        </is>
      </c>
    </row>
    <row r="21">
      <c r="A21" t="n">
        <v>0.01</v>
      </c>
      <c r="B21" t="n">
        <v>57</v>
      </c>
      <c r="C21" t="inlineStr">
        <is>
          <t>0.000 to 0.010</t>
        </is>
      </c>
    </row>
    <row r="22">
      <c r="A22" t="n">
        <v>0.02</v>
      </c>
      <c r="B22" t="n">
        <v>68</v>
      </c>
      <c r="C22" t="inlineStr">
        <is>
          <t>0.010 to 0.020</t>
        </is>
      </c>
    </row>
    <row r="23">
      <c r="A23" t="n">
        <v>0.03</v>
      </c>
      <c r="B23" t="n">
        <v>23</v>
      </c>
      <c r="C23" t="inlineStr">
        <is>
          <t>0.020 to 0.030</t>
        </is>
      </c>
    </row>
    <row r="24">
      <c r="A24" t="n">
        <v>0.04</v>
      </c>
      <c r="B24" t="n">
        <v>14</v>
      </c>
      <c r="C24" t="inlineStr">
        <is>
          <t>0.030 to 0.040</t>
        </is>
      </c>
    </row>
    <row r="25">
      <c r="A25" t="n">
        <v>0.05</v>
      </c>
      <c r="B25" t="n">
        <v>6</v>
      </c>
      <c r="C25" t="inlineStr">
        <is>
          <t>0.040 to 0.050</t>
        </is>
      </c>
    </row>
    <row r="26">
      <c r="A26" t="n">
        <v>0.06</v>
      </c>
      <c r="B26" t="n">
        <v>5</v>
      </c>
      <c r="C26" t="inlineStr">
        <is>
          <t>0.050 to 0.060</t>
        </is>
      </c>
    </row>
    <row r="27">
      <c r="A27" t="n">
        <v>0.07000000000000001</v>
      </c>
      <c r="B27" t="n">
        <v>2</v>
      </c>
      <c r="C27" t="inlineStr">
        <is>
          <t>0.060 to 0.070</t>
        </is>
      </c>
    </row>
    <row r="28">
      <c r="A28" t="n">
        <v>0.08</v>
      </c>
      <c r="B28" t="n">
        <v>1</v>
      </c>
      <c r="C28" t="inlineStr">
        <is>
          <t>0.070 to 0.080</t>
        </is>
      </c>
    </row>
    <row r="29">
      <c r="A29" t="n">
        <v>0.09</v>
      </c>
      <c r="B29" t="n">
        <v>0</v>
      </c>
      <c r="C29" t="inlineStr">
        <is>
          <t>0.080 to 0.090</t>
        </is>
      </c>
    </row>
    <row r="30">
      <c r="A30" t="n">
        <v>0.1</v>
      </c>
      <c r="B30" t="n">
        <v>1</v>
      </c>
      <c r="C30" t="inlineStr">
        <is>
          <t>0.090 to 0.100</t>
        </is>
      </c>
    </row>
    <row r="31">
      <c r="A31" t="n">
        <v>0.11</v>
      </c>
      <c r="B31" t="n">
        <v>0</v>
      </c>
      <c r="C31" t="inlineStr">
        <is>
          <t>0.100 to 0.110</t>
        </is>
      </c>
    </row>
    <row r="32">
      <c r="A32" t="n">
        <v>0.12</v>
      </c>
      <c r="B32" t="n">
        <v>1</v>
      </c>
      <c r="C32" t="inlineStr">
        <is>
          <t>0.110 to 0.120</t>
        </is>
      </c>
    </row>
    <row r="33">
      <c r="A33" t="n">
        <v>0.13</v>
      </c>
      <c r="B33" t="n">
        <v>0</v>
      </c>
      <c r="C33" t="inlineStr">
        <is>
          <t>0.120 to 0.130</t>
        </is>
      </c>
    </row>
    <row r="34">
      <c r="A34" t="n">
        <v>0.14</v>
      </c>
      <c r="B34" t="n">
        <v>0</v>
      </c>
      <c r="C34" t="inlineStr">
        <is>
          <t>0.130 to 0.140</t>
        </is>
      </c>
    </row>
    <row r="35">
      <c r="A35" t="n">
        <v>0.15</v>
      </c>
      <c r="B35" t="n">
        <v>0</v>
      </c>
      <c r="C35" t="inlineStr">
        <is>
          <t>0.140 to 0.150</t>
        </is>
      </c>
    </row>
    <row r="38">
      <c r="A38" s="4" t="inlineStr">
        <is>
          <t>AAPL RETURNS HISTOGRAM</t>
        </is>
      </c>
    </row>
    <row r="39">
      <c r="A39" s="5" t="inlineStr">
        <is>
          <t>Bin Upper Limit</t>
        </is>
      </c>
      <c r="B39" s="5" t="inlineStr">
        <is>
          <t>Frequency</t>
        </is>
      </c>
      <c r="C39" s="5" t="inlineStr">
        <is>
          <t>Bin Label</t>
        </is>
      </c>
    </row>
    <row r="40">
      <c r="A40" t="n">
        <v>-0.2</v>
      </c>
      <c r="B40" t="n">
        <v>0</v>
      </c>
      <c r="C40" t="inlineStr">
        <is>
          <t>&lt;-0.200</t>
        </is>
      </c>
    </row>
    <row r="41">
      <c r="A41" t="n">
        <v>-0.19</v>
      </c>
      <c r="B41" t="n">
        <v>1</v>
      </c>
      <c r="C41" t="inlineStr">
        <is>
          <t>-0.200 to -0.190</t>
        </is>
      </c>
    </row>
    <row r="42">
      <c r="A42" t="n">
        <v>-0.18</v>
      </c>
      <c r="B42" t="n">
        <v>0</v>
      </c>
      <c r="C42" t="inlineStr">
        <is>
          <t>-0.190 to -0.180</t>
        </is>
      </c>
    </row>
    <row r="43">
      <c r="A43" t="n">
        <v>-0.17</v>
      </c>
      <c r="B43" t="n">
        <v>0</v>
      </c>
      <c r="C43" t="inlineStr">
        <is>
          <t>-0.180 to -0.170</t>
        </is>
      </c>
    </row>
    <row r="44">
      <c r="A44" t="n">
        <v>-0.16</v>
      </c>
      <c r="B44" t="n">
        <v>0</v>
      </c>
      <c r="C44" t="inlineStr">
        <is>
          <t>-0.170 to -0.160</t>
        </is>
      </c>
    </row>
    <row r="45">
      <c r="A45" t="n">
        <v>-0.15</v>
      </c>
      <c r="B45" t="n">
        <v>0</v>
      </c>
      <c r="C45" t="inlineStr">
        <is>
          <t>-0.160 to -0.150</t>
        </is>
      </c>
    </row>
    <row r="46">
      <c r="A46" t="n">
        <v>-0.14</v>
      </c>
      <c r="B46" t="n">
        <v>1</v>
      </c>
      <c r="C46" t="inlineStr">
        <is>
          <t>-0.150 to -0.140</t>
        </is>
      </c>
    </row>
    <row r="47">
      <c r="A47" t="n">
        <v>-0.13</v>
      </c>
      <c r="B47" t="n">
        <v>1</v>
      </c>
      <c r="C47" t="inlineStr">
        <is>
          <t>-0.140 to -0.130</t>
        </is>
      </c>
    </row>
    <row r="48">
      <c r="A48" t="n">
        <v>-0.12</v>
      </c>
      <c r="B48" t="n">
        <v>0</v>
      </c>
      <c r="C48" t="inlineStr">
        <is>
          <t>-0.130 to -0.120</t>
        </is>
      </c>
    </row>
    <row r="49">
      <c r="A49" t="n">
        <v>-0.11</v>
      </c>
      <c r="B49" t="n">
        <v>2</v>
      </c>
      <c r="C49" t="inlineStr">
        <is>
          <t>-0.120 to -0.110</t>
        </is>
      </c>
    </row>
    <row r="50">
      <c r="A50" t="n">
        <v>-0.1</v>
      </c>
      <c r="B50" t="n">
        <v>0</v>
      </c>
      <c r="C50" t="inlineStr">
        <is>
          <t>-0.110 to -0.100</t>
        </is>
      </c>
    </row>
    <row r="51">
      <c r="A51" t="n">
        <v>-0.09</v>
      </c>
      <c r="B51" t="n">
        <v>0</v>
      </c>
      <c r="C51" t="inlineStr">
        <is>
          <t>-0.100 to -0.090</t>
        </is>
      </c>
    </row>
    <row r="52">
      <c r="A52" t="n">
        <v>-0.08</v>
      </c>
      <c r="B52" t="n">
        <v>1</v>
      </c>
      <c r="C52" t="inlineStr">
        <is>
          <t>-0.090 to -0.080</t>
        </is>
      </c>
    </row>
    <row r="53">
      <c r="A53" t="n">
        <v>-0.07000000000000001</v>
      </c>
      <c r="B53" t="n">
        <v>3</v>
      </c>
      <c r="C53" t="inlineStr">
        <is>
          <t>-0.080 to -0.070</t>
        </is>
      </c>
    </row>
    <row r="54">
      <c r="A54" t="n">
        <v>-0.06</v>
      </c>
      <c r="B54" t="n">
        <v>7</v>
      </c>
      <c r="C54" t="inlineStr">
        <is>
          <t>-0.070 to -0.060</t>
        </is>
      </c>
    </row>
    <row r="55">
      <c r="A55" t="n">
        <v>-0.05</v>
      </c>
      <c r="B55" t="n">
        <v>8</v>
      </c>
      <c r="C55" t="inlineStr">
        <is>
          <t>-0.060 to -0.050</t>
        </is>
      </c>
    </row>
    <row r="56">
      <c r="A56" t="n">
        <v>-0.04</v>
      </c>
      <c r="B56" t="n">
        <v>8</v>
      </c>
      <c r="C56" t="inlineStr">
        <is>
          <t>-0.050 to -0.040</t>
        </is>
      </c>
    </row>
    <row r="57">
      <c r="A57" t="n">
        <v>-0.03</v>
      </c>
      <c r="B57" t="n">
        <v>19</v>
      </c>
      <c r="C57" t="inlineStr">
        <is>
          <t>-0.040 to -0.030</t>
        </is>
      </c>
    </row>
    <row r="58">
      <c r="A58" t="n">
        <v>-0.02</v>
      </c>
      <c r="B58" t="n">
        <v>24</v>
      </c>
      <c r="C58" t="inlineStr">
        <is>
          <t>-0.030 to -0.020</t>
        </is>
      </c>
    </row>
    <row r="59">
      <c r="A59" t="n">
        <v>-0.01</v>
      </c>
      <c r="B59" t="n">
        <v>25</v>
      </c>
      <c r="C59" t="inlineStr">
        <is>
          <t>-0.020 to -0.010</t>
        </is>
      </c>
    </row>
    <row r="60">
      <c r="A60" t="n">
        <v>0</v>
      </c>
      <c r="B60" t="n">
        <v>32</v>
      </c>
      <c r="C60" t="inlineStr">
        <is>
          <t>-0.010 to 0.000</t>
        </is>
      </c>
    </row>
    <row r="61">
      <c r="A61" t="n">
        <v>0.01</v>
      </c>
      <c r="B61" t="n">
        <v>44</v>
      </c>
      <c r="C61" t="inlineStr">
        <is>
          <t>0.000 to 0.010</t>
        </is>
      </c>
    </row>
    <row r="62">
      <c r="A62" t="n">
        <v>0.02</v>
      </c>
      <c r="B62" t="n">
        <v>28</v>
      </c>
      <c r="C62" t="inlineStr">
        <is>
          <t>0.010 to 0.020</t>
        </is>
      </c>
    </row>
    <row r="63">
      <c r="A63" t="n">
        <v>0.03</v>
      </c>
      <c r="B63" t="n">
        <v>37</v>
      </c>
      <c r="C63" t="inlineStr">
        <is>
          <t>0.020 to 0.030</t>
        </is>
      </c>
    </row>
    <row r="64">
      <c r="A64" t="n">
        <v>0.04</v>
      </c>
      <c r="B64" t="n">
        <v>21</v>
      </c>
      <c r="C64" t="inlineStr">
        <is>
          <t>0.030 to 0.040</t>
        </is>
      </c>
    </row>
    <row r="65">
      <c r="A65" t="n">
        <v>0.05</v>
      </c>
      <c r="B65" t="n">
        <v>14</v>
      </c>
      <c r="C65" t="inlineStr">
        <is>
          <t>0.040 to 0.050</t>
        </is>
      </c>
    </row>
    <row r="66">
      <c r="A66" t="n">
        <v>0.06</v>
      </c>
      <c r="B66" t="n">
        <v>14</v>
      </c>
      <c r="C66" t="inlineStr">
        <is>
          <t>0.050 to 0.060</t>
        </is>
      </c>
    </row>
    <row r="67">
      <c r="A67" t="n">
        <v>0.07000000000000001</v>
      </c>
      <c r="B67" t="n">
        <v>6</v>
      </c>
      <c r="C67" t="inlineStr">
        <is>
          <t>0.060 to 0.070</t>
        </is>
      </c>
    </row>
    <row r="68">
      <c r="A68" t="n">
        <v>0.08</v>
      </c>
      <c r="B68" t="n">
        <v>10</v>
      </c>
      <c r="C68" t="inlineStr">
        <is>
          <t>0.070 to 0.080</t>
        </is>
      </c>
    </row>
    <row r="69">
      <c r="A69" t="n">
        <v>0.09</v>
      </c>
      <c r="B69" t="n">
        <v>3</v>
      </c>
      <c r="C69" t="inlineStr">
        <is>
          <t>0.080 to 0.090</t>
        </is>
      </c>
    </row>
    <row r="70">
      <c r="A70" t="n">
        <v>0.1</v>
      </c>
      <c r="B70" t="n">
        <v>0</v>
      </c>
      <c r="C70" t="inlineStr">
        <is>
          <t>0.090 to 0.100</t>
        </is>
      </c>
    </row>
    <row r="71">
      <c r="A71" t="n">
        <v>0.11</v>
      </c>
      <c r="B71" t="n">
        <v>2</v>
      </c>
      <c r="C71" t="inlineStr">
        <is>
          <t>0.100 to 0.110</t>
        </is>
      </c>
    </row>
    <row r="72">
      <c r="A72" t="n">
        <v>0.12</v>
      </c>
      <c r="B72" t="n">
        <v>0</v>
      </c>
      <c r="C72" t="inlineStr">
        <is>
          <t>0.110 to 0.120</t>
        </is>
      </c>
    </row>
    <row r="73">
      <c r="A73" t="n">
        <v>0.13</v>
      </c>
      <c r="B73" t="n">
        <v>1</v>
      </c>
      <c r="C73" t="inlineStr">
        <is>
          <t>0.120 to 0.130</t>
        </is>
      </c>
    </row>
    <row r="74">
      <c r="A74" t="n">
        <v>0.14</v>
      </c>
      <c r="B74" t="n">
        <v>1</v>
      </c>
      <c r="C74" t="inlineStr">
        <is>
          <t>0.130 to 0.140</t>
        </is>
      </c>
    </row>
    <row r="75">
      <c r="A75" t="n">
        <v>0.15</v>
      </c>
      <c r="B75" t="n">
        <v>0</v>
      </c>
      <c r="C75" t="inlineStr">
        <is>
          <t>0.140 to 0.150</t>
        </is>
      </c>
    </row>
    <row r="76">
      <c r="A76" t="n">
        <v>0.16</v>
      </c>
      <c r="B76" t="n">
        <v>0</v>
      </c>
      <c r="C76" t="inlineStr">
        <is>
          <t>0.150 to 0.160</t>
        </is>
      </c>
    </row>
    <row r="77">
      <c r="A77" t="n">
        <v>0.17</v>
      </c>
      <c r="B77" t="n">
        <v>0</v>
      </c>
      <c r="C77" t="inlineStr">
        <is>
          <t>0.160 to 0.170</t>
        </is>
      </c>
    </row>
    <row r="78">
      <c r="A78" t="n">
        <v>0.18</v>
      </c>
      <c r="B78" t="n">
        <v>0</v>
      </c>
      <c r="C78" t="inlineStr">
        <is>
          <t>0.170 to 0.180</t>
        </is>
      </c>
    </row>
    <row r="79">
      <c r="A79" t="n">
        <v>0.19</v>
      </c>
      <c r="B79" t="n">
        <v>0</v>
      </c>
      <c r="C79" t="inlineStr">
        <is>
          <t>0.180 to 0.190</t>
        </is>
      </c>
    </row>
    <row r="80">
      <c r="A80" t="n">
        <v>0.2</v>
      </c>
      <c r="B80" t="n">
        <v>0</v>
      </c>
      <c r="C80" t="inlineStr">
        <is>
          <t>0.190 to 0.200</t>
        </is>
      </c>
    </row>
  </sheetData>
  <mergeCells count="3">
    <mergeCell ref="A38:C38"/>
    <mergeCell ref="A3:C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30" customWidth="1" min="4" max="4"/>
  </cols>
  <sheetData>
    <row r="1">
      <c r="A1" s="8" t="inlineStr">
        <is>
          <t>QUESTION 2 - SUMMARY OF RESULTS</t>
        </is>
      </c>
    </row>
    <row r="3">
      <c r="A3" s="9" t="inlineStr">
        <is>
          <t>Dataset Information</t>
        </is>
      </c>
    </row>
    <row r="4">
      <c r="A4" t="inlineStr">
        <is>
          <t>Stock Selected:</t>
        </is>
      </c>
      <c r="B4" t="inlineStr">
        <is>
          <t>Apple Inc. (AAPL)</t>
        </is>
      </c>
    </row>
    <row r="5">
      <c r="A5" t="inlineStr">
        <is>
          <t>Index Selected:</t>
        </is>
      </c>
      <c r="B5" t="inlineStr">
        <is>
          <t>S&amp;P 500</t>
        </is>
      </c>
    </row>
    <row r="6">
      <c r="A6" t="inlineStr">
        <is>
          <t>Data Frequency:</t>
        </is>
      </c>
      <c r="B6" t="inlineStr">
        <is>
          <t>Weekly</t>
        </is>
      </c>
    </row>
    <row r="7">
      <c r="A7" t="inlineStr">
        <is>
          <t>Period:</t>
        </is>
      </c>
      <c r="B7" t="inlineStr">
        <is>
          <t>November 2019 to November 2025 (6 years)</t>
        </is>
      </c>
    </row>
    <row r="8">
      <c r="A8" t="inlineStr">
        <is>
          <t>Number of Observations:</t>
        </is>
      </c>
      <c r="B8" t="inlineStr">
        <is>
          <t>313 weekly returns</t>
        </is>
      </c>
    </row>
    <row r="10">
      <c r="A10" s="9" t="inlineStr">
        <is>
          <t>Statistical Summary</t>
        </is>
      </c>
    </row>
    <row r="11">
      <c r="A11" s="10" t="inlineStr">
        <is>
          <t>Statistic</t>
        </is>
      </c>
      <c r="B11" s="10" t="inlineStr">
        <is>
          <t>S&amp;P 500</t>
        </is>
      </c>
      <c r="C11" s="10" t="inlineStr">
        <is>
          <t>AAPL</t>
        </is>
      </c>
      <c r="D11" s="10" t="inlineStr">
        <is>
          <t>Notes</t>
        </is>
      </c>
    </row>
    <row r="12">
      <c r="A12" t="inlineStr">
        <is>
          <t>Mean Weekly Return</t>
        </is>
      </c>
      <c r="B12" s="11">
        <f>Calculations!B5</f>
        <v/>
      </c>
      <c r="C12" s="11">
        <f>Calculations!C5</f>
        <v/>
      </c>
      <c r="D12" t="inlineStr">
        <is>
          <t>Average log return</t>
        </is>
      </c>
    </row>
    <row r="13">
      <c r="A13" t="inlineStr">
        <is>
          <t>Variance</t>
        </is>
      </c>
      <c r="B13" s="12">
        <f>Calculations!B10</f>
        <v/>
      </c>
      <c r="C13" s="12">
        <f>Calculations!C10</f>
        <v/>
      </c>
      <c r="D13" t="inlineStr">
        <is>
          <t>Manual &amp; Excel match</t>
        </is>
      </c>
    </row>
    <row r="14">
      <c r="A14" t="inlineStr">
        <is>
          <t>Standard Deviation</t>
        </is>
      </c>
      <c r="B14" s="12">
        <f>Calculations!B16</f>
        <v/>
      </c>
      <c r="C14" s="12">
        <f>Calculations!C16</f>
        <v/>
      </c>
      <c r="D14" t="inlineStr">
        <is>
          <t>Weekly volatility</t>
        </is>
      </c>
    </row>
    <row r="15">
      <c r="A15" t="inlineStr">
        <is>
          <t>Skewness</t>
        </is>
      </c>
      <c r="B15" s="12">
        <f>Calculations!B21</f>
        <v/>
      </c>
      <c r="C15" s="12">
        <f>Calculations!C21</f>
        <v/>
      </c>
      <c r="D15" t="inlineStr">
        <is>
          <t>Asymmetry measure</t>
        </is>
      </c>
    </row>
    <row r="16">
      <c r="A16" t="inlineStr">
        <is>
          <t>Kurtosis</t>
        </is>
      </c>
      <c r="B16" s="12">
        <f>Calculations!B22</f>
        <v/>
      </c>
      <c r="C16" s="12">
        <f>Calculations!C22</f>
        <v/>
      </c>
      <c r="D16" t="inlineStr">
        <is>
          <t>Tail heaviness</t>
        </is>
      </c>
    </row>
    <row r="17">
      <c r="A17" t="inlineStr">
        <is>
          <t>Covariance</t>
        </is>
      </c>
      <c r="B17" s="12">
        <f>Calculations!B32</f>
        <v/>
      </c>
      <c r="D17" t="inlineStr">
        <is>
          <t>Co-movement measure</t>
        </is>
      </c>
    </row>
    <row r="18">
      <c r="A18" t="inlineStr">
        <is>
          <t>Correlation</t>
        </is>
      </c>
      <c r="B18" s="12">
        <f>Calculations!B38</f>
        <v/>
      </c>
      <c r="D18" t="inlineStr">
        <is>
          <t>Standardized co-movement</t>
        </is>
      </c>
    </row>
    <row r="19">
      <c r="A19" t="inlineStr">
        <is>
          <t>Weeks Moving Together</t>
        </is>
      </c>
      <c r="B19" s="12">
        <f>Calculations!B26</f>
        <v/>
      </c>
      <c r="C19" s="12">
        <f>Calculations!C26</f>
        <v/>
      </c>
      <c r="D19" t="inlineStr">
        <is>
          <t>Same direction</t>
        </is>
      </c>
    </row>
    <row r="20">
      <c r="A20" t="inlineStr">
        <is>
          <t>Weeks Moving Apart</t>
        </is>
      </c>
      <c r="B20" s="12">
        <f>Calculations!B27</f>
        <v/>
      </c>
      <c r="C20" s="12">
        <f>Calculations!C27</f>
        <v/>
      </c>
      <c r="D20" t="inlineStr">
        <is>
          <t>Opposite direction</t>
        </is>
      </c>
    </row>
    <row r="22">
      <c r="A22" s="9" t="inlineStr">
        <is>
          <t>Regression Results (AAPL vs S&amp;P 500)</t>
        </is>
      </c>
    </row>
    <row r="23">
      <c r="A23" s="10" t="inlineStr">
        <is>
          <t>Parameter</t>
        </is>
      </c>
      <c r="B23" s="10" t="inlineStr">
        <is>
          <t>Value</t>
        </is>
      </c>
      <c r="D23" s="10" t="inlineStr">
        <is>
          <t>Interpretation</t>
        </is>
      </c>
    </row>
    <row r="24">
      <c r="A24" t="inlineStr">
        <is>
          <t>Beta (Slope)</t>
        </is>
      </c>
      <c r="B24" s="12">
        <f>Calculations!B43</f>
        <v/>
      </c>
      <c r="D24" t="inlineStr">
        <is>
          <t>Systematic risk</t>
        </is>
      </c>
    </row>
    <row r="25">
      <c r="A25" t="inlineStr">
        <is>
          <t>Alpha (Intercept)</t>
        </is>
      </c>
      <c r="B25" s="12">
        <f>Calculations!B44</f>
        <v/>
      </c>
      <c r="D25" t="inlineStr">
        <is>
          <t>Excess return</t>
        </is>
      </c>
    </row>
    <row r="26">
      <c r="A26" t="inlineStr">
        <is>
          <t>R-Square</t>
        </is>
      </c>
      <c r="B26" s="12">
        <f>Calculations!B45</f>
        <v/>
      </c>
      <c r="D26" t="inlineStr">
        <is>
          <t>Goodness of fit</t>
        </is>
      </c>
    </row>
  </sheetData>
  <mergeCells count="6">
    <mergeCell ref="A1:D1"/>
    <mergeCell ref="A22:D22"/>
    <mergeCell ref="A3:D3"/>
    <mergeCell ref="B17:C17"/>
    <mergeCell ref="B18:C18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2025-11-13T19:54:34Z</dcterms:created>
  <dcterms:modified xsi:type="dcterms:W3CDTF">2025-11-13T21:45:24Z</dcterms:modified>
</cp:coreProperties>
</file>